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Master Skills" sheetId="2" state="visible" r:id="rId2"/>
    <sheet xmlns:r="http://schemas.openxmlformats.org/officeDocument/2006/relationships" name="Climate &amp; Terrain" sheetId="3" state="visible" r:id="rId3"/>
    <sheet xmlns:r="http://schemas.openxmlformats.org/officeDocument/2006/relationships" name="Transition Paths" sheetId="4" state="visible" r:id="rId4"/>
    <sheet xmlns:r="http://schemas.openxmlformats.org/officeDocument/2006/relationships" name="Material Substitutions" sheetId="5" state="visible" r:id="rId5"/>
    <sheet xmlns:r="http://schemas.openxmlformats.org/officeDocument/2006/relationships"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0000"/>
    </font>
    <font>
      <b val="1"/>
      <color rgb="00FF6600"/>
    </font>
    <font>
      <b val="1"/>
      <color rgb="000070C0"/>
    </font>
    <font>
      <color rgb="00666666"/>
    </font>
    <font>
      <b val="1"/>
    </font>
    <font>
      <b val="1"/>
      <color rgb="00FF0000"/>
      <sz val="12"/>
    </font>
    <font>
      <b val="1"/>
      <color rgb="00FF6600"/>
      <sz val="12"/>
    </font>
    <font>
      <b val="1"/>
      <color rgb="000070C0"/>
      <sz val="12"/>
    </font>
    <font>
      <b val="1"/>
      <sz val="11"/>
    </font>
    <font>
      <b val="1"/>
      <color rgb="00FF0000"/>
      <sz val="11"/>
    </font>
  </fonts>
  <fills count="9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8" borderId="0" applyAlignment="1" pivotButton="0" quotePrefix="0" xfId="0">
      <alignment horizontal="center"/>
    </xf>
    <xf numFmtId="0" fontId="9" fillId="8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35" customWidth="1" min="4" max="4"/>
  </cols>
  <sheetData>
    <row r="1">
      <c r="A1" s="1" t="inlineStr">
        <is>
          <t>SALVAGE PRIORITY GUIDE - QUICK REFERENCE</t>
        </is>
      </c>
    </row>
    <row r="3">
      <c r="A3" s="13">
        <f>== FIRST 24 HOURS: ABSOLUTE PRIORITIES ===</f>
        <v/>
      </c>
    </row>
    <row r="4">
      <c r="A4" s="2" t="inlineStr">
        <is>
          <t>Priority</t>
        </is>
      </c>
      <c r="B4" s="2" t="inlineStr">
        <is>
          <t>Item Type</t>
        </is>
      </c>
      <c r="C4" s="2" t="inlineStr">
        <is>
          <t>Why Critical</t>
        </is>
      </c>
      <c r="D4" s="2" t="inlineStr">
        <is>
          <t>Where to Find</t>
        </is>
      </c>
    </row>
    <row r="5">
      <c r="A5" s="3" t="inlineStr">
        <is>
          <t>1</t>
        </is>
      </c>
      <c r="B5" s="3" t="inlineStr">
        <is>
          <t>Water containers (any type)</t>
        </is>
      </c>
      <c r="C5" s="3" t="inlineStr">
        <is>
          <t>Dehydration kills in 3 days</t>
        </is>
      </c>
      <c r="D5" s="3" t="inlineStr">
        <is>
          <t>Anywhere - bottles, jugs, buckets</t>
        </is>
      </c>
    </row>
    <row r="6">
      <c r="A6" s="3" t="inlineStr">
        <is>
          <t>2</t>
        </is>
      </c>
      <c r="B6" s="3" t="inlineStr">
        <is>
          <t>Lighters/matches</t>
        </is>
      </c>
      <c r="C6" s="3" t="inlineStr">
        <is>
          <t>Fire = warmth, cooking, water purification</t>
        </is>
      </c>
      <c r="D6" s="3" t="inlineStr">
        <is>
          <t>Stores, homes, vehicles, gas stations</t>
        </is>
      </c>
    </row>
    <row r="7">
      <c r="A7" s="3" t="inlineStr">
        <is>
          <t>3</t>
        </is>
      </c>
      <c r="B7" s="3" t="inlineStr">
        <is>
          <t>Metal cutting tools (knives, axes)</t>
        </is>
      </c>
      <c r="C7" s="3" t="inlineStr">
        <is>
          <t>Processing food, materials, defense</t>
        </is>
      </c>
      <c r="D7" s="3" t="inlineStr">
        <is>
          <t>Kitchens, garages, hardware stores</t>
        </is>
      </c>
    </row>
    <row r="8">
      <c r="A8" s="3" t="inlineStr">
        <is>
          <t>4</t>
        </is>
      </c>
      <c r="B8" s="3" t="inlineStr">
        <is>
          <t>Tarps/plastic sheeting</t>
        </is>
      </c>
      <c r="C8" s="3" t="inlineStr">
        <is>
          <t>Immediate weatherproof shelter</t>
        </is>
      </c>
      <c r="D8" s="3" t="inlineStr">
        <is>
          <t>Hardware stores, camping, construction</t>
        </is>
      </c>
    </row>
    <row r="9">
      <c r="A9" s="3" t="inlineStr">
        <is>
          <t>5</t>
        </is>
      </c>
      <c r="B9" s="3" t="inlineStr">
        <is>
          <t>Rope/cordage (any)</t>
        </is>
      </c>
      <c r="C9" s="3" t="inlineStr">
        <is>
          <t>Securing shelter, tools, countless uses</t>
        </is>
      </c>
      <c r="D9" s="3" t="inlineStr">
        <is>
          <t>Everywhere - even shoelaces count</t>
        </is>
      </c>
    </row>
    <row r="10">
      <c r="A10" s="14" t="n"/>
      <c r="B10" s="18" t="n"/>
      <c r="C10" s="18" t="n"/>
      <c r="D10" s="19" t="n"/>
    </row>
    <row r="11">
      <c r="A11" s="2">
        <f>== FIRST WEEK: BUILD FOUNDATION ===</f>
        <v/>
      </c>
      <c r="B11" s="2" t="n"/>
      <c r="C11" s="2" t="n"/>
      <c r="D11" s="2" t="n"/>
    </row>
    <row r="12">
      <c r="A12" s="3" t="inlineStr">
        <is>
          <t>Priority</t>
        </is>
      </c>
      <c r="B12" s="3" t="inlineStr">
        <is>
          <t>Item Type</t>
        </is>
      </c>
      <c r="C12" s="3" t="inlineStr">
        <is>
          <t>Why Important</t>
        </is>
      </c>
      <c r="D12" s="3" t="inlineStr">
        <is>
          <t>Where to Find</t>
        </is>
      </c>
    </row>
    <row r="13">
      <c r="A13" s="3" t="inlineStr">
        <is>
          <t>6</t>
        </is>
      </c>
      <c r="B13" s="3" t="inlineStr">
        <is>
          <t>Metal buckets/pots</t>
        </is>
      </c>
      <c r="C13" s="3" t="inlineStr">
        <is>
          <t>Water transport, cooking, storage</t>
        </is>
      </c>
      <c r="D13" s="3" t="inlineStr">
        <is>
          <t>Kitchens, garages, restaurants</t>
        </is>
      </c>
    </row>
    <row r="14">
      <c r="A14" s="3" t="inlineStr">
        <is>
          <t>7</t>
        </is>
      </c>
      <c r="B14" s="3" t="inlineStr">
        <is>
          <t>Hand tools (shovels, hammers, saws)</t>
        </is>
      </c>
      <c r="C14" s="3" t="inlineStr">
        <is>
          <t>Construction, agriculture, manufacturing</t>
        </is>
      </c>
      <c r="D14" s="3" t="inlineStr">
        <is>
          <t>Garages, hardware stores, sheds</t>
        </is>
      </c>
    </row>
    <row r="15">
      <c r="A15" s="3" t="inlineStr">
        <is>
          <t>8</t>
        </is>
      </c>
      <c r="B15" s="3" t="inlineStr">
        <is>
          <t>PVC pipe + fittings</t>
        </is>
      </c>
      <c r="C15" s="3" t="inlineStr">
        <is>
          <t>Water systems = force multiplier</t>
        </is>
      </c>
      <c r="D15" s="3" t="inlineStr">
        <is>
          <t>Plumbing sections, construction sites</t>
        </is>
      </c>
    </row>
    <row r="16">
      <c r="A16" s="3" t="inlineStr">
        <is>
          <t>9</t>
        </is>
      </c>
      <c r="B16" s="3" t="inlineStr">
        <is>
          <t>Wheels + bearings (any)</t>
        </is>
      </c>
      <c r="C16" s="3" t="inlineStr">
        <is>
          <t>Transportation, machinery</t>
        </is>
      </c>
      <c r="D16" s="3" t="inlineStr">
        <is>
          <t>Bicycles, carts, appliances</t>
        </is>
      </c>
    </row>
    <row r="17">
      <c r="A17" s="15" t="inlineStr">
        <is>
          <t>10</t>
        </is>
      </c>
      <c r="B17" s="18" t="n"/>
      <c r="C17" s="18" t="n"/>
      <c r="D17" s="19" t="n"/>
    </row>
    <row r="18">
      <c r="A18" s="2" t="n"/>
      <c r="B18" s="2" t="n"/>
      <c r="C18" s="2" t="n"/>
      <c r="D18" s="2" t="n"/>
    </row>
    <row r="19">
      <c r="A19" s="3">
        <f>== FIRST MONTH: ESTABLISH SYSTEMS ===</f>
        <v/>
      </c>
      <c r="B19" s="3" t="n"/>
      <c r="C19" s="3" t="n"/>
      <c r="D19" s="3" t="n"/>
    </row>
    <row r="20">
      <c r="A20" s="3" t="inlineStr">
        <is>
          <t>Priority</t>
        </is>
      </c>
      <c r="B20" s="3" t="inlineStr">
        <is>
          <t>Item Type</t>
        </is>
      </c>
      <c r="C20" s="3" t="inlineStr">
        <is>
          <t>Why Important</t>
        </is>
      </c>
      <c r="D20" s="3" t="inlineStr">
        <is>
          <t>Where to Find</t>
        </is>
      </c>
    </row>
    <row r="21">
      <c r="A21" s="3" t="inlineStr">
        <is>
          <t>11</t>
        </is>
      </c>
      <c r="B21" s="3" t="inlineStr">
        <is>
          <t>Propane tanks + burners</t>
        </is>
      </c>
      <c r="C21" s="3" t="inlineStr">
        <is>
          <t>Precision heat for metallurgy</t>
        </is>
      </c>
      <c r="D21" s="3" t="inlineStr">
        <is>
          <t>Grills, camping, RVs</t>
        </is>
      </c>
    </row>
    <row r="22">
      <c r="A22" s="3" t="inlineStr">
        <is>
          <t>12</t>
        </is>
      </c>
      <c r="B22" s="3" t="inlineStr">
        <is>
          <t>Ball bearings (all sizes)</t>
        </is>
      </c>
      <c r="C22" s="3" t="inlineStr">
        <is>
          <t>Low-friction rotation = efficiency</t>
        </is>
      </c>
      <c r="D22" s="3" t="inlineStr">
        <is>
          <t>Any spinning machinery</t>
        </is>
      </c>
    </row>
    <row r="23">
      <c r="A23" s="3" t="inlineStr">
        <is>
          <t>13</t>
        </is>
      </c>
      <c r="B23" s="3" t="inlineStr">
        <is>
          <t>Metal sheet/wire</t>
        </is>
      </c>
      <c r="C23" s="3" t="inlineStr">
        <is>
          <t>Fabrication, repairs, tools</t>
        </is>
      </c>
      <c r="D23" s="3" t="inlineStr">
        <is>
          <t>Appliances, vehicles, construction</t>
        </is>
      </c>
    </row>
    <row r="24">
      <c r="A24" s="16" t="inlineStr">
        <is>
          <t>14</t>
        </is>
      </c>
      <c r="B24" s="18" t="n"/>
      <c r="C24" s="18" t="n"/>
      <c r="D24" s="19" t="n"/>
    </row>
    <row r="25">
      <c r="A25" s="3" t="inlineStr">
        <is>
          <t>15</t>
        </is>
      </c>
      <c r="B25" s="3" t="inlineStr">
        <is>
          <t>Fasteners (screws, nails, bolts)</t>
        </is>
      </c>
      <c r="C25" s="3" t="inlineStr">
        <is>
          <t>Assembly, construction</t>
        </is>
      </c>
      <c r="D25" s="3" t="inlineStr">
        <is>
          <t>Hardware, construction sites</t>
        </is>
      </c>
    </row>
    <row r="26">
      <c r="A26" s="3" t="n"/>
      <c r="B26" s="3" t="n"/>
      <c r="C26" s="3" t="n"/>
      <c r="D26" s="3" t="n"/>
    </row>
    <row r="27">
      <c r="A27" s="3">
        <f>== GENERAL PRINCIPLES ===</f>
        <v/>
      </c>
      <c r="B27" s="3" t="n"/>
      <c r="C27" s="3" t="n"/>
      <c r="D27" s="3" t="n"/>
    </row>
    <row r="28">
      <c r="A28" s="3" t="inlineStr"/>
      <c r="B28" s="3" t="inlineStr">
        <is>
          <t>Principle</t>
        </is>
      </c>
      <c r="C28" s="3" t="inlineStr">
        <is>
          <t>Explanation</t>
        </is>
      </c>
      <c r="D28" s="3" t="inlineStr"/>
    </row>
    <row r="29">
      <c r="A29" s="3" t="inlineStr"/>
      <c r="B29" s="3" t="inlineStr">
        <is>
          <t>Salvage &gt; Make</t>
        </is>
      </c>
      <c r="C29" s="3" t="inlineStr">
        <is>
          <t>Always use existing items before making from scratch</t>
        </is>
      </c>
      <c r="D29" s="3" t="inlineStr"/>
    </row>
    <row r="30">
      <c r="A30" s="3" t="inlineStr"/>
      <c r="B30" s="3" t="inlineStr">
        <is>
          <t>Small &gt; Big</t>
        </is>
      </c>
      <c r="C30" s="3" t="inlineStr">
        <is>
          <t>Collect small critical items (bearings, fasteners) first - harder to find later</t>
        </is>
      </c>
      <c r="D30" s="3" t="inlineStr"/>
    </row>
    <row r="31">
      <c r="A31" s="17" t="inlineStr"/>
      <c r="B31" s="18" t="n"/>
      <c r="C31" s="18" t="n"/>
      <c r="D31" s="19" t="n"/>
    </row>
    <row r="32">
      <c r="A32" s="3" t="inlineStr"/>
      <c r="B32" s="3" t="inlineStr">
        <is>
          <t>Metal &gt; Everything</t>
        </is>
      </c>
      <c r="C32" s="3" t="inlineStr">
        <is>
          <t>Metal tools and materials are force multipliers for all other work</t>
        </is>
      </c>
      <c r="D32" s="3" t="inlineStr"/>
    </row>
    <row r="33">
      <c r="A33" s="3" t="inlineStr"/>
      <c r="B33" s="3" t="inlineStr">
        <is>
          <t>Learn Anyway</t>
        </is>
      </c>
      <c r="C33" s="3" t="inlineStr">
        <is>
          <t>Know how to make it traditionally even if using salvage</t>
        </is>
      </c>
      <c r="D33" s="3" t="inlineStr"/>
    </row>
    <row r="34">
      <c r="A34" s="3" t="n"/>
      <c r="B34" s="3" t="n"/>
      <c r="C34" s="3" t="n"/>
      <c r="D34" s="3" t="n"/>
    </row>
    <row r="35">
      <c r="A35" s="3">
        <f>== DO NOT WASTE TIME MAKING THESE ===</f>
        <v/>
      </c>
      <c r="B35" s="3" t="n"/>
      <c r="C35" s="3" t="n"/>
      <c r="D35" s="3" t="n"/>
    </row>
    <row r="36">
      <c r="A36" s="3" t="inlineStr"/>
      <c r="B36" s="3" t="inlineStr">
        <is>
          <t>Item</t>
        </is>
      </c>
      <c r="C36" s="3" t="inlineStr">
        <is>
          <t>Why Not</t>
        </is>
      </c>
      <c r="D36" s="3" t="inlineStr">
        <is>
          <t>Use Instead</t>
        </is>
      </c>
    </row>
    <row r="37">
      <c r="A37" s="3" t="inlineStr"/>
      <c r="B37" s="3" t="inlineStr">
        <is>
          <t>Rope from plant fibers</t>
        </is>
      </c>
      <c r="C37" s="3" t="inlineStr">
        <is>
          <t>Takes hours, weak, rots</t>
        </is>
      </c>
      <c r="D37" s="3" t="inlineStr">
        <is>
          <t>Any modern rope, paracord, wire</t>
        </is>
      </c>
    </row>
    <row r="38">
      <c r="A38" s="3" t="inlineStr"/>
      <c r="B38" s="3" t="inlineStr">
        <is>
          <t>Stone tools</t>
        </is>
      </c>
      <c r="C38" s="3" t="inlineStr">
        <is>
          <t>Inefficient, time-consuming</t>
        </is>
      </c>
      <c r="D38" s="3" t="inlineStr">
        <is>
          <t>Metal knives, axes, saws</t>
        </is>
      </c>
    </row>
    <row r="39">
      <c r="A39" s="3" t="inlineStr"/>
      <c r="B39" s="3" t="inlineStr">
        <is>
          <t>Clay pots for storage</t>
        </is>
      </c>
      <c r="C39" s="3" t="inlineStr">
        <is>
          <t>Fragile, hard to make</t>
        </is>
      </c>
      <c r="D39" s="3" t="inlineStr">
        <is>
          <t>Plastic buckets, metal containers</t>
        </is>
      </c>
    </row>
    <row r="40">
      <c r="A40" s="3" t="inlineStr"/>
      <c r="B40" s="3" t="inlineStr">
        <is>
          <t>Woven baskets</t>
        </is>
      </c>
      <c r="C40" s="3" t="inlineStr">
        <is>
          <t>Labor intensive</t>
        </is>
      </c>
      <c r="D40" s="3" t="inlineStr">
        <is>
          <t>Bags, boxes, bins (everywhere)</t>
        </is>
      </c>
    </row>
    <row r="41">
      <c r="A41" s="3" t="inlineStr"/>
      <c r="B41" s="3" t="inlineStr">
        <is>
          <t>Friction fire</t>
        </is>
      </c>
      <c r="C41" s="3" t="inlineStr">
        <is>
          <t>Low success rate, exhausting</t>
        </is>
      </c>
      <c r="D41" s="3" t="inlineStr">
        <is>
          <t>Lighters, matches (store thousands)</t>
        </is>
      </c>
    </row>
  </sheetData>
  <mergeCells count="6">
    <mergeCell ref="A1:D1"/>
    <mergeCell ref="A17:D17"/>
    <mergeCell ref="A31:D31"/>
    <mergeCell ref="A3:D3"/>
    <mergeCell ref="A24:D2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6" customWidth="1" min="3" max="3"/>
    <col width="10" customWidth="1" min="4" max="4"/>
    <col width="20" customWidth="1" min="5" max="5"/>
    <col width="35" customWidth="1" min="6" max="6"/>
    <col width="40" customWidth="1" min="7" max="7"/>
    <col width="12" customWidth="1" min="8" max="8"/>
    <col width="12" customWidth="1" min="9" max="9"/>
    <col width="30" customWidth="1" min="10" max="10"/>
    <col width="40" customWidth="1" min="11" max="11"/>
    <col width="12" customWidth="1" min="12" max="12"/>
    <col width="35" customWidth="1" min="13" max="13"/>
    <col width="30" customWidth="1" min="14" max="14"/>
  </cols>
  <sheetData>
    <row r="1">
      <c r="A1" s="1" t="inlineStr">
        <is>
          <t>CIVILIZATION TECH TREE - SALVAGE &amp; TRANSITION GUIDE</t>
        </is>
      </c>
    </row>
    <row r="3">
      <c r="A3" s="2" t="inlineStr">
        <is>
          <t>Skill Name</t>
        </is>
      </c>
      <c r="B3" s="2" t="inlineStr">
        <is>
          <t>ID</t>
        </is>
      </c>
      <c r="C3" s="2" t="inlineStr">
        <is>
          <t>Era</t>
        </is>
      </c>
      <c r="D3" s="2" t="inlineStr">
        <is>
          <t>Time
(weeks)</t>
        </is>
      </c>
      <c r="E3" s="2" t="inlineStr">
        <is>
          <t>Category</t>
        </is>
      </c>
      <c r="F3" s="2" t="inlineStr">
        <is>
          <t>Traditional Method</t>
        </is>
      </c>
      <c r="G3" s="2" t="inlineStr">
        <is>
          <t>With Salvage Materials</t>
        </is>
      </c>
      <c r="H3" s="2" t="inlineStr">
        <is>
          <t>Time Savings</t>
        </is>
      </c>
      <c r="I3" s="2" t="inlineStr">
        <is>
          <t>Difficulty
Reduction</t>
        </is>
      </c>
      <c r="J3" s="2" t="inlineStr">
        <is>
          <t>Prerequisites</t>
        </is>
      </c>
      <c r="K3" s="2" t="inlineStr">
        <is>
          <t>Unlocks</t>
        </is>
      </c>
      <c r="L3" s="2" t="inlineStr">
        <is>
          <t>Salvage Priority</t>
        </is>
      </c>
      <c r="M3" s="2" t="inlineStr">
        <is>
          <t>Best Salvage Items</t>
        </is>
      </c>
      <c r="N3" s="2" t="inlineStr">
        <is>
          <t>Notes</t>
        </is>
      </c>
    </row>
    <row r="4">
      <c r="A4" s="3" t="inlineStr">
        <is>
          <t>Fire Control</t>
        </is>
      </c>
      <c r="B4" s="3" t="inlineStr">
        <is>
          <t>#16</t>
        </is>
      </c>
      <c r="C4" s="3" t="inlineStr">
        <is>
          <t>1</t>
        </is>
      </c>
      <c r="D4" s="3" t="inlineStr">
        <is>
          <t>1-2</t>
        </is>
      </c>
      <c r="E4" s="3" t="inlineStr">
        <is>
          <t>Primitive Foundations</t>
        </is>
      </c>
      <c r="F4" s="4" t="inlineStr">
        <is>
          <t>Friction fire (hand drill, bow drill), fire lay preparation, natural tinders</t>
        </is>
      </c>
      <c r="G4" s="5" t="inlineStr">
        <is>
          <t>Lighter/matches for ignition, metal containers for charcoal, temperature gauges</t>
        </is>
      </c>
      <c r="H4" s="3" t="inlineStr">
        <is>
          <t>80%</t>
        </is>
      </c>
      <c r="I4" s="3" t="inlineStr">
        <is>
          <t>High</t>
        </is>
      </c>
      <c r="J4" s="3" t="inlineStr">
        <is>
          <t>Hand Drill Firing, Tinder Prep, Fire Lay Prep</t>
        </is>
      </c>
      <c r="K4" s="3" t="inlineStr">
        <is>
          <t>Metallurgy, ceramics, glass, food preservation, sterilization (25+ topics)</t>
        </is>
      </c>
      <c r="L4" s="6" t="inlineStr">
        <is>
          <t>CRITICAL</t>
        </is>
      </c>
      <c r="M4" s="3" t="inlineStr">
        <is>
          <t>Lighters, matches, metal buckets, thermometers</t>
        </is>
      </c>
      <c r="N4" s="3" t="inlineStr">
        <is>
          <t>Modern ignition eliminates 90% of difficulty</t>
        </is>
      </c>
    </row>
    <row r="5">
      <c r="A5" s="3" t="inlineStr">
        <is>
          <t>Watershed Mapping</t>
        </is>
      </c>
      <c r="B5" s="3" t="inlineStr">
        <is>
          <t>#1</t>
        </is>
      </c>
      <c r="C5" s="3" t="inlineStr">
        <is>
          <t>0</t>
        </is>
      </c>
      <c r="D5" s="3" t="inlineStr">
        <is>
          <t>0.5-1</t>
        </is>
      </c>
      <c r="E5" s="3" t="inlineStr">
        <is>
          <t>Infrastructure</t>
        </is>
      </c>
      <c r="F5" s="4" t="inlineStr">
        <is>
          <t>Walk entire area, observe water flow, mark springs/streams with stakes</t>
        </is>
      </c>
      <c r="G5" s="5" t="inlineStr">
        <is>
          <t>GPS device, topographic maps, elevation apps, satellite imagery</t>
        </is>
      </c>
      <c r="H5" s="3" t="inlineStr">
        <is>
          <t>70%</t>
        </is>
      </c>
      <c r="I5" s="3" t="inlineStr">
        <is>
          <t>Medium</t>
        </is>
      </c>
      <c r="J5" s="3" t="inlineStr">
        <is>
          <t>None</t>
        </is>
      </c>
      <c r="K5" s="3" t="inlineStr">
        <is>
          <t>Water systems, irrigation, power, large infrastructure (20+ topics)</t>
        </is>
      </c>
      <c r="L5" s="7" t="inlineStr">
        <is>
          <t>HIGH</t>
        </is>
      </c>
      <c r="M5" s="3" t="inlineStr">
        <is>
          <t>GPS, phone with maps, paper topo maps, compass</t>
        </is>
      </c>
      <c r="N5" s="3" t="inlineStr">
        <is>
          <t>GPS dramatically speeds mapping</t>
        </is>
      </c>
    </row>
    <row r="6">
      <c r="A6" s="3" t="inlineStr">
        <is>
          <t>Bloomery Iron</t>
        </is>
      </c>
      <c r="B6" s="3" t="inlineStr">
        <is>
          <t>#29</t>
        </is>
      </c>
      <c r="C6" s="3" t="inlineStr">
        <is>
          <t>1</t>
        </is>
      </c>
      <c r="D6" s="3" t="inlineStr">
        <is>
          <t>3-4</t>
        </is>
      </c>
      <c r="E6" s="3" t="inlineStr">
        <is>
          <t>Metallurgy</t>
        </is>
      </c>
      <c r="F6" s="4" t="inlineStr">
        <is>
          <t>Build bloomery furnace from clay/stone, manual bellows, charcoal fuel</t>
        </is>
      </c>
      <c r="G6" s="5" t="inlineStr">
        <is>
          <t>Metal barrel for furnace, electric blower, infrared thermometer, pre-made charcoal</t>
        </is>
      </c>
      <c r="H6" s="3" t="inlineStr">
        <is>
          <t>60%</t>
        </is>
      </c>
      <c r="I6" s="3" t="inlineStr">
        <is>
          <t>Very High</t>
        </is>
      </c>
      <c r="J6" s="3" t="inlineStr">
        <is>
          <t>Fire Control, Charcoal Production</t>
        </is>
      </c>
      <c r="K6" s="3" t="inlineStr">
        <is>
          <t>All metalworking, tools, mechanical systems (30+ topics)</t>
        </is>
      </c>
      <c r="L6" s="6" t="inlineStr">
        <is>
          <t>CRITICAL</t>
        </is>
      </c>
      <c r="M6" s="3" t="inlineStr">
        <is>
          <t>Metal drums, leaf blower, car battery + fan, thermometer</t>
        </is>
      </c>
      <c r="N6" s="3" t="inlineStr">
        <is>
          <t>Electric blower is game-changer</t>
        </is>
      </c>
    </row>
    <row r="7">
      <c r="A7" s="3" t="inlineStr">
        <is>
          <t>Water Wheel Basics</t>
        </is>
      </c>
      <c r="B7" s="3" t="inlineStr">
        <is>
          <t>#40</t>
        </is>
      </c>
      <c r="C7" s="3" t="inlineStr">
        <is>
          <t>2</t>
        </is>
      </c>
      <c r="D7" s="3" t="inlineStr">
        <is>
          <t>4-6</t>
        </is>
      </c>
      <c r="E7" s="3" t="inlineStr">
        <is>
          <t>Energy &amp; Power</t>
        </is>
      </c>
      <c r="F7" s="4" t="inlineStr">
        <is>
          <t>Hand-carved wooden wheel, stone bearings, hand-dug millrace</t>
        </is>
      </c>
      <c r="G7" s="5" t="inlineStr">
        <is>
          <t>Salvaged wheel/pulley, ball bearings, PVC/metal pipes for millrace</t>
        </is>
      </c>
      <c r="H7" s="3" t="inlineStr">
        <is>
          <t>75%</t>
        </is>
      </c>
      <c r="I7" s="3" t="inlineStr">
        <is>
          <t>Very High</t>
        </is>
      </c>
      <c r="J7" s="3" t="inlineStr">
        <is>
          <t>Watershed Mapping, Basic Woodworking</t>
        </is>
      </c>
      <c r="K7" s="3" t="inlineStr">
        <is>
          <t>Steam engines, generators, mechanical power (25+ topics)</t>
        </is>
      </c>
      <c r="L7" s="7" t="inlineStr">
        <is>
          <t>HIGH</t>
        </is>
      </c>
      <c r="M7" s="3" t="inlineStr">
        <is>
          <t>Bicycle wheels, car pulleys, bearings, PVC pipe</t>
        </is>
      </c>
      <c r="N7" s="3" t="inlineStr">
        <is>
          <t>Modern bearings eliminate friction losses</t>
        </is>
      </c>
    </row>
    <row r="8">
      <c r="A8" s="3" t="inlineStr">
        <is>
          <t>Pottery Basics</t>
        </is>
      </c>
      <c r="B8" s="3" t="inlineStr">
        <is>
          <t>#227</t>
        </is>
      </c>
      <c r="C8" s="3" t="inlineStr">
        <is>
          <t>1</t>
        </is>
      </c>
      <c r="D8" s="3" t="inlineStr">
        <is>
          <t>2-3</t>
        </is>
      </c>
      <c r="E8" s="3" t="inlineStr">
        <is>
          <t>Manufacturing</t>
        </is>
      </c>
      <c r="F8" s="4" t="inlineStr">
        <is>
          <t>Hand-build with local clay, pit fire or primitive kiln</t>
        </is>
      </c>
      <c r="G8" s="5" t="inlineStr">
        <is>
          <t>Potter's wheel (salvaged), electric kiln or propane burner, ceramic supplies</t>
        </is>
      </c>
      <c r="H8" s="3" t="inlineStr">
        <is>
          <t>50%</t>
        </is>
      </c>
      <c r="I8" s="3" t="inlineStr">
        <is>
          <t>High</t>
        </is>
      </c>
      <c r="J8" s="3" t="inlineStr">
        <is>
          <t>Clay Selection, Fire Control</t>
        </is>
      </c>
      <c r="K8" s="3" t="inlineStr">
        <is>
          <t>Food storage, water transport, chemical vessels</t>
        </is>
      </c>
      <c r="L8" s="3" t="inlineStr">
        <is>
          <t>MEDIUM</t>
        </is>
      </c>
      <c r="M8" s="3" t="inlineStr">
        <is>
          <t>Old pottery wheel, propane torch, metal buckets</t>
        </is>
      </c>
      <c r="N8" s="3" t="inlineStr">
        <is>
          <t>Wheel optional but helpful</t>
        </is>
      </c>
    </row>
    <row r="9">
      <c r="A9" s="3" t="inlineStr">
        <is>
          <t>Glassmaking</t>
        </is>
      </c>
      <c r="B9" s="3" t="inlineStr">
        <is>
          <t>#18</t>
        </is>
      </c>
      <c r="C9" s="3" t="inlineStr">
        <is>
          <t>1</t>
        </is>
      </c>
      <c r="D9" s="3" t="inlineStr">
        <is>
          <t>4-5</t>
        </is>
      </c>
      <c r="E9" s="3" t="inlineStr">
        <is>
          <t>Manufacturing</t>
        </is>
      </c>
      <c r="F9" s="4" t="inlineStr">
        <is>
          <t>Build kiln from scratch, collect/refine silica sand, wood/charcoal fuel</t>
        </is>
      </c>
      <c r="G9" s="5" t="inlineStr">
        <is>
          <t>Propane burner, salvaged glass for melting, purchased silica, pyrometer</t>
        </is>
      </c>
      <c r="H9" s="3" t="inlineStr">
        <is>
          <t>65%</t>
        </is>
      </c>
      <c r="I9" s="3" t="inlineStr">
        <is>
          <t>Very High</t>
        </is>
      </c>
      <c r="J9" s="3" t="inlineStr">
        <is>
          <t>Fire Control, Kiln Engineering</t>
        </is>
      </c>
      <c r="K9" s="3" t="inlineStr">
        <is>
          <t>Optics, precision instruments, science (15+ topics)</t>
        </is>
      </c>
      <c r="L9" s="3" t="inlineStr">
        <is>
          <t>MEDIUM</t>
        </is>
      </c>
      <c r="M9" s="3" t="inlineStr">
        <is>
          <t>Propane torch, broken glass, fire bricks</t>
        </is>
      </c>
      <c r="N9" s="3" t="inlineStr">
        <is>
          <t>Salvaged glass melts easier than raw sand</t>
        </is>
      </c>
    </row>
    <row r="10">
      <c r="A10" s="3" t="inlineStr">
        <is>
          <t>Agriculture Fundamentals</t>
        </is>
      </c>
      <c r="B10" s="3" t="inlineStr">
        <is>
          <t>N/A</t>
        </is>
      </c>
      <c r="C10" s="3" t="inlineStr">
        <is>
          <t>2</t>
        </is>
      </c>
      <c r="D10" s="3" t="inlineStr">
        <is>
          <t>4</t>
        </is>
      </c>
      <c r="E10" s="3" t="inlineStr">
        <is>
          <t>Agriculture</t>
        </is>
      </c>
      <c r="F10" s="4" t="inlineStr">
        <is>
          <t>Hand tools (sticks, stone hoes), natural fertilizer, manual irrigation</t>
        </is>
      </c>
      <c r="G10" s="5" t="inlineStr">
        <is>
          <t>Metal tools (shovels, hoes), plastic piping, PVC irrigation, garden hose</t>
        </is>
      </c>
      <c r="H10" s="3" t="inlineStr">
        <is>
          <t>50%</t>
        </is>
      </c>
      <c r="I10" s="3" t="inlineStr">
        <is>
          <t>Medium</t>
        </is>
      </c>
      <c r="J10" s="3" t="inlineStr">
        <is>
          <t>Seed Banking, Soil Prep, Watershed Mapping</t>
        </is>
      </c>
      <c r="K10" s="3" t="inlineStr">
        <is>
          <t>Crop rotation, pest management, field optimization</t>
        </is>
      </c>
      <c r="L10" s="3" t="inlineStr">
        <is>
          <t>MEDIUM</t>
        </is>
      </c>
      <c r="M10" s="3" t="inlineStr">
        <is>
          <t>Garden tools, hoses, PVC, buckets</t>
        </is>
      </c>
      <c r="N10" s="3" t="inlineStr">
        <is>
          <t>Metal tools vastly easier than wood/stone</t>
        </is>
      </c>
    </row>
    <row r="11">
      <c r="A11" s="3" t="inlineStr">
        <is>
          <t>Charcoal Production</t>
        </is>
      </c>
      <c r="B11" s="3" t="inlineStr">
        <is>
          <t>#15</t>
        </is>
      </c>
      <c r="C11" s="3" t="inlineStr">
        <is>
          <t>1</t>
        </is>
      </c>
      <c r="D11" s="3" t="inlineStr">
        <is>
          <t>1-2</t>
        </is>
      </c>
      <c r="E11" s="3" t="inlineStr">
        <is>
          <t>Energy</t>
        </is>
      </c>
      <c r="F11" s="4" t="inlineStr">
        <is>
          <t>Dig pit, stack wood, cover with earth, monitor for days</t>
        </is>
      </c>
      <c r="G11" s="5" t="inlineStr">
        <is>
          <t>Metal drum with vents, temperature control, faster burn cycle</t>
        </is>
      </c>
      <c r="H11" s="3" t="inlineStr">
        <is>
          <t>40%</t>
        </is>
      </c>
      <c r="I11" s="3" t="inlineStr">
        <is>
          <t>Medium</t>
        </is>
      </c>
      <c r="J11" s="3" t="inlineStr">
        <is>
          <t>Fire Control</t>
        </is>
      </c>
      <c r="K11" s="3" t="inlineStr">
        <is>
          <t>Bloomery, blacksmithing, high-heat applications</t>
        </is>
      </c>
      <c r="L11" s="7" t="inlineStr">
        <is>
          <t>HIGH</t>
        </is>
      </c>
      <c r="M11" s="3" t="inlineStr">
        <is>
          <t>Metal 55-gallon drums, metal pipe for vents</t>
        </is>
      </c>
      <c r="N11" s="3" t="inlineStr">
        <is>
          <t>Metal drum method much cleaner</t>
        </is>
      </c>
    </row>
    <row r="12">
      <c r="A12" s="3" t="inlineStr">
        <is>
          <t>Rope &amp; Cordage</t>
        </is>
      </c>
      <c r="B12" s="3" t="inlineStr">
        <is>
          <t>#159</t>
        </is>
      </c>
      <c r="C12" s="3" t="inlineStr">
        <is>
          <t>1</t>
        </is>
      </c>
      <c r="D12" s="3" t="inlineStr">
        <is>
          <t>1-2</t>
        </is>
      </c>
      <c r="E12" s="3" t="inlineStr">
        <is>
          <t>Textiles</t>
        </is>
      </c>
      <c r="F12" s="4" t="inlineStr">
        <is>
          <t>Hand-twist plant fibers (bark, grass, vines)</t>
        </is>
      </c>
      <c r="G12" s="5" t="inlineStr">
        <is>
          <t>Salvaged rope, paracord, wire rope, nylon line</t>
        </is>
      </c>
      <c r="H12" s="3" t="inlineStr">
        <is>
          <t>90%</t>
        </is>
      </c>
      <c r="I12" s="3" t="inlineStr">
        <is>
          <t>High</t>
        </is>
      </c>
      <c r="J12" s="3" t="inlineStr">
        <is>
          <t>Fiber Preparation</t>
        </is>
      </c>
      <c r="K12" s="3" t="inlineStr">
        <is>
          <t>Construction, trapping, transportation</t>
        </is>
      </c>
      <c r="L12" s="3" t="inlineStr">
        <is>
          <t>LOW</t>
        </is>
      </c>
      <c r="M12" s="3" t="inlineStr">
        <is>
          <t>Any modern rope, fishing line, wire</t>
        </is>
      </c>
      <c r="N12" s="3" t="inlineStr">
        <is>
          <t>No need to make rope with salvage available</t>
        </is>
      </c>
    </row>
    <row r="13">
      <c r="A13" s="3" t="inlineStr">
        <is>
          <t>Seed Banking</t>
        </is>
      </c>
      <c r="B13" s="3" t="inlineStr">
        <is>
          <t>#6</t>
        </is>
      </c>
      <c r="C13" s="3" t="inlineStr">
        <is>
          <t>0</t>
        </is>
      </c>
      <c r="D13" s="3" t="inlineStr">
        <is>
          <t>1-2</t>
        </is>
      </c>
      <c r="E13" s="3" t="inlineStr">
        <is>
          <t>Agriculture</t>
        </is>
      </c>
      <c r="F13" s="4" t="inlineStr">
        <is>
          <t>Hand-select seeds, clay pots for storage, cool dry cave/cellar</t>
        </is>
      </c>
      <c r="G13" s="5" t="inlineStr">
        <is>
          <t>Plastic containers, silica gel packets, freezer, vacuum sealer</t>
        </is>
      </c>
      <c r="H13" s="3" t="inlineStr">
        <is>
          <t>30%</t>
        </is>
      </c>
      <c r="I13" s="3" t="inlineStr">
        <is>
          <t>Low</t>
        </is>
      </c>
      <c r="J13" s="3" t="inlineStr">
        <is>
          <t>Genetic Selection, Food Safety</t>
        </is>
      </c>
      <c r="K13" s="3" t="inlineStr">
        <is>
          <t>All agriculture, crop diversity (15+ topics)</t>
        </is>
      </c>
      <c r="L13" s="3" t="inlineStr">
        <is>
          <t>MEDIUM</t>
        </is>
      </c>
      <c r="M13" s="3" t="inlineStr">
        <is>
          <t>Plastic containers, ziplock bags, mason jars</t>
        </is>
      </c>
      <c r="N13" s="3" t="inlineStr">
        <is>
          <t>Modern containers prevent moisture/pest damage</t>
        </is>
      </c>
    </row>
    <row r="14">
      <c r="A14" t="inlineStr">
        <is>
          <t>Soil Preparation</t>
        </is>
      </c>
      <c r="B14" t="inlineStr">
        <is>
          <t>N/A</t>
        </is>
      </c>
      <c r="C14" t="inlineStr">
        <is>
          <t>0</t>
        </is>
      </c>
      <c r="D14" t="inlineStr">
        <is>
          <t>1</t>
        </is>
      </c>
      <c r="E14" t="inlineStr">
        <is>
          <t>Agriculture</t>
        </is>
      </c>
      <c r="F14" s="20" t="inlineStr">
        <is>
          <t>Hand digging with sticks or stone tools, manual breaking of clumps</t>
        </is>
      </c>
      <c r="G14" s="21" t="inlineStr">
        <is>
          <t>Metal shovel, rototiller if fuel available, garden fork, wheelbarrow</t>
        </is>
      </c>
      <c r="H14" t="inlineStr">
        <is>
          <t>70%</t>
        </is>
      </c>
      <c r="I14" t="inlineStr">
        <is>
          <t>Very High</t>
        </is>
      </c>
      <c r="J14" t="inlineStr">
        <is>
          <t>None</t>
        </is>
      </c>
      <c r="K14" t="inlineStr">
        <is>
          <t>Crop Rotation, Irrigation, Planting</t>
        </is>
      </c>
      <c r="L14" s="22" t="inlineStr">
        <is>
          <t>HIGH</t>
        </is>
      </c>
      <c r="M14" t="inlineStr">
        <is>
          <t>Shovels, garden forks, hoes, wheelbarrows</t>
        </is>
      </c>
      <c r="N14" t="inlineStr">
        <is>
          <t>Metal tools transform back-breaking work</t>
        </is>
      </c>
    </row>
    <row r="15">
      <c r="A15" t="inlineStr">
        <is>
          <t>Crop Rotation</t>
        </is>
      </c>
      <c r="B15" t="inlineStr">
        <is>
          <t>N/A</t>
        </is>
      </c>
      <c r="C15" t="inlineStr">
        <is>
          <t>1</t>
        </is>
      </c>
      <c r="D15" t="inlineStr">
        <is>
          <t>2</t>
        </is>
      </c>
      <c r="E15" t="inlineStr">
        <is>
          <t>Agriculture</t>
        </is>
      </c>
      <c r="F15" s="20" t="inlineStr">
        <is>
          <t>Mental tracking or stick markers in ground</t>
        </is>
      </c>
      <c r="G15" s="21" t="inlineStr">
        <is>
          <t>Paper/notebook for records, calendar, printed crop rotation charts</t>
        </is>
      </c>
      <c r="H15" t="inlineStr">
        <is>
          <t>40%</t>
        </is>
      </c>
      <c r="I15" t="inlineStr">
        <is>
          <t>Medium</t>
        </is>
      </c>
      <c r="J15" t="inlineStr">
        <is>
          <t>Seed Banking, Soil Prep</t>
        </is>
      </c>
      <c r="K15" t="inlineStr">
        <is>
          <t>Sustainable Farming, Soil Health</t>
        </is>
      </c>
      <c r="L15" t="inlineStr">
        <is>
          <t>MEDIUM</t>
        </is>
      </c>
      <c r="M15" t="inlineStr">
        <is>
          <t>Notebooks, pens, calendars, printed guides</t>
        </is>
      </c>
      <c r="N15" t="inlineStr">
        <is>
          <t>Simple record-keeping vastly improves tracking</t>
        </is>
      </c>
    </row>
    <row r="16">
      <c r="A16" t="inlineStr">
        <is>
          <t>Irrigation</t>
        </is>
      </c>
      <c r="B16" t="inlineStr">
        <is>
          <t>N/A</t>
        </is>
      </c>
      <c r="C16" t="inlineStr">
        <is>
          <t>2</t>
        </is>
      </c>
      <c r="D16" t="inlineStr">
        <is>
          <t>3</t>
        </is>
      </c>
      <c r="E16" t="inlineStr">
        <is>
          <t>Agriculture</t>
        </is>
      </c>
      <c r="F16" s="20" t="inlineStr">
        <is>
          <t>Hand-carry water in containers, hand-dug ditches</t>
        </is>
      </c>
      <c r="G16" s="21" t="inlineStr">
        <is>
          <t>PVC pipe, garden hose, drip irrigation kits, pumps, sprinklers</t>
        </is>
      </c>
      <c r="H16" t="inlineStr">
        <is>
          <t>80%</t>
        </is>
      </c>
      <c r="I16" t="inlineStr">
        <is>
          <t>Very High</t>
        </is>
      </c>
      <c r="J16" t="inlineStr">
        <is>
          <t>Watershed Mapping, Soil Prep</t>
        </is>
      </c>
      <c r="K16" t="inlineStr">
        <is>
          <t>Field Optimization, High-Yield Farming</t>
        </is>
      </c>
      <c r="L16" s="23" t="inlineStr">
        <is>
          <t>CRITICAL</t>
        </is>
      </c>
      <c r="M16" t="inlineStr">
        <is>
          <t>PVC pipe, hoses, pumps, drip irrigation kits</t>
        </is>
      </c>
      <c r="N16" t="inlineStr">
        <is>
          <t>Modern irrigation is civilization-transforming</t>
        </is>
      </c>
    </row>
    <row r="17">
      <c r="A17" t="inlineStr">
        <is>
          <t>Precision Manufacturing</t>
        </is>
      </c>
      <c r="B17" t="inlineStr">
        <is>
          <t>#35</t>
        </is>
      </c>
      <c r="C17" t="inlineStr">
        <is>
          <t>5</t>
        </is>
      </c>
      <c r="D17" t="inlineStr">
        <is>
          <t>8-10</t>
        </is>
      </c>
      <c r="E17" t="inlineStr">
        <is>
          <t>Manufacturing</t>
        </is>
      </c>
      <c r="F17" s="20" t="inlineStr">
        <is>
          <t>Hand filing, visual estimation, stone/wood references</t>
        </is>
      </c>
      <c r="G17" s="21" t="inlineStr">
        <is>
          <t>Calipers, micrometers, machinist squares, dial indicators, digital measuring tools</t>
        </is>
      </c>
      <c r="H17" t="inlineStr">
        <is>
          <t>85%</t>
        </is>
      </c>
      <c r="I17" t="inlineStr">
        <is>
          <t>Very High</t>
        </is>
      </c>
      <c r="J17" t="inlineStr">
        <is>
          <t>Blast Furnace, Tool &amp; Die</t>
        </is>
      </c>
      <c r="K17" t="inlineStr">
        <is>
          <t>Interchangeable Parts, Factories, Advanced Systems</t>
        </is>
      </c>
      <c r="L17" s="23" t="inlineStr">
        <is>
          <t>CRITICAL</t>
        </is>
      </c>
      <c r="M17" t="inlineStr">
        <is>
          <t>Any precision measuring tools, calipers, micrometers</t>
        </is>
      </c>
      <c r="N17" t="inlineStr">
        <is>
          <t>Measurement tools enable industrial revolution</t>
        </is>
      </c>
    </row>
    <row r="18">
      <c r="A18" t="inlineStr">
        <is>
          <t>Electromagnetism</t>
        </is>
      </c>
      <c r="B18" t="inlineStr">
        <is>
          <t>#50</t>
        </is>
      </c>
      <c r="C18" t="inlineStr">
        <is>
          <t>5</t>
        </is>
      </c>
      <c r="D18" t="inlineStr">
        <is>
          <t>6-8</t>
        </is>
      </c>
      <c r="E18" t="inlineStr">
        <is>
          <t>Energy</t>
        </is>
      </c>
      <c r="F18" s="20" t="inlineStr">
        <is>
          <t>Homemade coils from hand-drawn wire, primitive magnets</t>
        </is>
      </c>
      <c r="G18" s="21" t="inlineStr">
        <is>
          <t>Salvaged wire (copper), magnets from speakers/motors, multimeter</t>
        </is>
      </c>
      <c r="H18" t="inlineStr">
        <is>
          <t>60%</t>
        </is>
      </c>
      <c r="I18" t="inlineStr">
        <is>
          <t>High</t>
        </is>
      </c>
      <c r="J18" t="inlineStr">
        <is>
          <t>Wire Drawing, Basic Science</t>
        </is>
      </c>
      <c r="K18" t="inlineStr">
        <is>
          <t>Generators, Motors, Electronics, Communication</t>
        </is>
      </c>
      <c r="L18" s="23" t="inlineStr">
        <is>
          <t>CRITICAL</t>
        </is>
      </c>
      <c r="M18" t="inlineStr">
        <is>
          <t>Copper wire, magnets, multimeters, electric motors to reverse-engineer</t>
        </is>
      </c>
      <c r="N18" t="inlineStr">
        <is>
          <t>Salvaged electrical components accelerate learning</t>
        </is>
      </c>
    </row>
    <row r="19">
      <c r="A19" t="inlineStr">
        <is>
          <t>Steam Engine</t>
        </is>
      </c>
      <c r="B19" t="inlineStr">
        <is>
          <t>#42</t>
        </is>
      </c>
      <c r="C19" t="inlineStr">
        <is>
          <t>4</t>
        </is>
      </c>
      <c r="D19" t="inlineStr">
        <is>
          <t>8-10</t>
        </is>
      </c>
      <c r="E19" t="inlineStr">
        <is>
          <t>Energy</t>
        </is>
      </c>
      <c r="F19" s="20" t="inlineStr">
        <is>
          <t>Hand-forged parts, stone/clay fittings, wooden frame</t>
        </is>
      </c>
      <c r="G19" s="21" t="inlineStr">
        <is>
          <t>Metal pipe, pressure gauge, ball bearings, valves, metal boiler</t>
        </is>
      </c>
      <c r="H19" t="inlineStr">
        <is>
          <t>70%</t>
        </is>
      </c>
      <c r="I19" t="inlineStr">
        <is>
          <t>Very High</t>
        </is>
      </c>
      <c r="J19" t="inlineStr">
        <is>
          <t>Water Wheel, Blast Furnace</t>
        </is>
      </c>
      <c r="K19" t="inlineStr">
        <is>
          <t>Generators, Factories, Transportation</t>
        </is>
      </c>
      <c r="L19" s="23" t="inlineStr">
        <is>
          <t>CRITICAL</t>
        </is>
      </c>
      <c r="M19" t="inlineStr">
        <is>
          <t>Metal pipes, pressure vessels, valves, gauges, bearings</t>
        </is>
      </c>
      <c r="N19" t="inlineStr">
        <is>
          <t>Modern parts dramatically improve reliability</t>
        </is>
      </c>
    </row>
    <row r="20">
      <c r="A20" t="inlineStr">
        <is>
          <t>Generator Construction</t>
        </is>
      </c>
      <c r="B20" t="inlineStr">
        <is>
          <t>#49</t>
        </is>
      </c>
      <c r="C20" t="inlineStr">
        <is>
          <t>5</t>
        </is>
      </c>
      <c r="D20" t="inlineStr">
        <is>
          <t>10-12</t>
        </is>
      </c>
      <c r="E20" t="inlineStr">
        <is>
          <t>Energy</t>
        </is>
      </c>
      <c r="F20" s="20" t="inlineStr">
        <is>
          <t>Hand-wound copper coils, carved wooden frame, stone bearings</t>
        </is>
      </c>
      <c r="G20" s="21" t="inlineStr">
        <is>
          <t>Salvaged alternator from car, copper wire, strong magnets, ball bearings</t>
        </is>
      </c>
      <c r="H20" t="inlineStr">
        <is>
          <t>75%</t>
        </is>
      </c>
      <c r="I20" t="inlineStr">
        <is>
          <t>Very High</t>
        </is>
      </c>
      <c r="J20" t="inlineStr">
        <is>
          <t>Steam Engine, Electromagnetism</t>
        </is>
      </c>
      <c r="K20" t="inlineStr">
        <is>
          <t>Electrical Infrastructure, Motors, Electronics</t>
        </is>
      </c>
      <c r="L20" s="23" t="inlineStr">
        <is>
          <t>CRITICAL</t>
        </is>
      </c>
      <c r="M20" t="inlineStr">
        <is>
          <t>Car alternators, copper wire, magnets, bearings, multimeter</t>
        </is>
      </c>
      <c r="N20" t="inlineStr">
        <is>
          <t>Car alternator can be converted to generator</t>
        </is>
      </c>
    </row>
    <row r="21">
      <c r="A21" t="inlineStr">
        <is>
          <t>Blast Furnace</t>
        </is>
      </c>
      <c r="B21" t="inlineStr">
        <is>
          <t>#30</t>
        </is>
      </c>
      <c r="C21" t="inlineStr">
        <is>
          <t>3</t>
        </is>
      </c>
      <c r="D21" t="inlineStr">
        <is>
          <t>6-8</t>
        </is>
      </c>
      <c r="E21" t="inlineStr">
        <is>
          <t>Metallurgy</t>
        </is>
      </c>
      <c r="F21" s="20" t="inlineStr">
        <is>
          <t>Stone/clay construction, manual bellows, wood fuel</t>
        </is>
      </c>
      <c r="G21" s="21" t="inlineStr">
        <is>
          <t>Metal drums/pipes, electric blower, refractory bricks, thermometer</t>
        </is>
      </c>
      <c r="H21" t="inlineStr">
        <is>
          <t>65%</t>
        </is>
      </c>
      <c r="I21" t="inlineStr">
        <is>
          <t>Very High</t>
        </is>
      </c>
      <c r="J21" t="inlineStr">
        <is>
          <t>Bloomery Iron, Water Wheel</t>
        </is>
      </c>
      <c r="K21" t="inlineStr">
        <is>
          <t>Steel Production, Advanced Alloys, Precision Tools</t>
        </is>
      </c>
      <c r="L21" s="23" t="inlineStr">
        <is>
          <t>CRITICAL</t>
        </is>
      </c>
      <c r="M21" t="inlineStr">
        <is>
          <t>Metal drums, electric blowers, fire bricks, pyrometer</t>
        </is>
      </c>
      <c r="N21" t="inlineStr">
        <is>
          <t>Electric blower enables consistent temperature</t>
        </is>
      </c>
    </row>
    <row r="22">
      <c r="A22" t="inlineStr">
        <is>
          <t>Blacksmithing</t>
        </is>
      </c>
      <c r="B22" t="inlineStr">
        <is>
          <t>#191</t>
        </is>
      </c>
      <c r="C22" t="inlineStr">
        <is>
          <t>1</t>
        </is>
      </c>
      <c r="D22" t="inlineStr">
        <is>
          <t>4</t>
        </is>
      </c>
      <c r="E22" t="inlineStr">
        <is>
          <t>Metallurgy</t>
        </is>
      </c>
      <c r="F22" s="20" t="inlineStr">
        <is>
          <t>Stone anvil, stick/stone tools for shaping, open fire</t>
        </is>
      </c>
      <c r="G22" s="21" t="inlineStr">
        <is>
          <t>Metal anvil, hammers, tongs, propane forge, bench vise</t>
        </is>
      </c>
      <c r="H22" t="inlineStr">
        <is>
          <t>60%</t>
        </is>
      </c>
      <c r="I22" t="inlineStr">
        <is>
          <t>High</t>
        </is>
      </c>
      <c r="J22" t="inlineStr">
        <is>
          <t>Bloomery Iron, Fire Control</t>
        </is>
      </c>
      <c r="K22" t="inlineStr">
        <is>
          <t>Tool Making, Metal Fabrication</t>
        </is>
      </c>
      <c r="L22" s="22" t="inlineStr">
        <is>
          <t>HIGH</t>
        </is>
      </c>
      <c r="M22" t="inlineStr">
        <is>
          <t>Anvil, hammers, tongs, vise, propane torch</t>
        </is>
      </c>
      <c r="N22" t="inlineStr">
        <is>
          <t>Metal anvil and tools vastly improve quality</t>
        </is>
      </c>
    </row>
    <row r="23">
      <c r="A23" t="inlineStr">
        <is>
          <t>Basic Woodworking</t>
        </is>
      </c>
      <c r="B23" t="inlineStr">
        <is>
          <t>#201</t>
        </is>
      </c>
      <c r="C23" t="inlineStr">
        <is>
          <t>1</t>
        </is>
      </c>
      <c r="D23" t="inlineStr">
        <is>
          <t>3</t>
        </is>
      </c>
      <c r="E23" t="inlineStr">
        <is>
          <t>Manufacturing</t>
        </is>
      </c>
      <c r="F23" s="20" t="inlineStr">
        <is>
          <t>Stone axes, fire hardening, hand scraping</t>
        </is>
      </c>
      <c r="G23" s="21" t="inlineStr">
        <is>
          <t>Saws, chisels, planes, drills, sandpaper, measuring tape</t>
        </is>
      </c>
      <c r="H23" t="inlineStr">
        <is>
          <t>80%</t>
        </is>
      </c>
      <c r="I23" t="inlineStr">
        <is>
          <t>Very High</t>
        </is>
      </c>
      <c r="J23" t="inlineStr">
        <is>
          <t>Fire Control</t>
        </is>
      </c>
      <c r="K23" t="inlineStr">
        <is>
          <t>Construction, Furniture, Tools</t>
        </is>
      </c>
      <c r="L23" s="22" t="inlineStr">
        <is>
          <t>HIGH</t>
        </is>
      </c>
      <c r="M23" t="inlineStr">
        <is>
          <t>Saws, chisels, planes, drills, sandpaper, tape measure</t>
        </is>
      </c>
      <c r="N23" t="inlineStr">
        <is>
          <t>Metal woodworking tools are 10-20x faster</t>
        </is>
      </c>
    </row>
    <row r="24">
      <c r="A24" t="inlineStr">
        <is>
          <t>Kiln Engineering</t>
        </is>
      </c>
      <c r="B24" t="inlineStr">
        <is>
          <t>#17</t>
        </is>
      </c>
      <c r="C24" t="inlineStr">
        <is>
          <t>1</t>
        </is>
      </c>
      <c r="D24" t="inlineStr">
        <is>
          <t>3-4</t>
        </is>
      </c>
      <c r="E24" t="inlineStr">
        <is>
          <t>Energy</t>
        </is>
      </c>
      <c r="F24" s="20" t="inlineStr">
        <is>
          <t>Stone/clay construction, manual temperature estimation</t>
        </is>
      </c>
      <c r="G24" s="21" t="inlineStr">
        <is>
          <t>Fire bricks, pyrometer, metal frame, ceramic insulation</t>
        </is>
      </c>
      <c r="H24" t="inlineStr">
        <is>
          <t>50%</t>
        </is>
      </c>
      <c r="I24" t="inlineStr">
        <is>
          <t>High</t>
        </is>
      </c>
      <c r="J24" t="inlineStr">
        <is>
          <t>Fire Control, Basic Construction</t>
        </is>
      </c>
      <c r="K24" t="inlineStr">
        <is>
          <t>Pottery, Glassmaking, Metallurgy</t>
        </is>
      </c>
      <c r="L24" t="inlineStr">
        <is>
          <t>MEDIUM</t>
        </is>
      </c>
      <c r="M24" t="inlineStr">
        <is>
          <t>Fire bricks, temperature gauges, insulation</t>
        </is>
      </c>
      <c r="N24" t="inlineStr">
        <is>
          <t>Temperature control crucial for quality</t>
        </is>
      </c>
    </row>
    <row r="25">
      <c r="A25" t="inlineStr">
        <is>
          <t>Paper Manufacturing</t>
        </is>
      </c>
      <c r="B25" t="inlineStr">
        <is>
          <t>#19</t>
        </is>
      </c>
      <c r="C25" t="inlineStr">
        <is>
          <t>2</t>
        </is>
      </c>
      <c r="D25" t="inlineStr">
        <is>
          <t>2-3</t>
        </is>
      </c>
      <c r="E25" t="inlineStr">
        <is>
          <t>Manufacturing</t>
        </is>
      </c>
      <c r="F25" s="20" t="inlineStr">
        <is>
          <t>Hand processing plant fiber, stone/wood tools</t>
        </is>
      </c>
      <c r="G25" s="21" t="inlineStr">
        <is>
          <t>Blender for pulp, mesh screens, rolling pin</t>
        </is>
      </c>
      <c r="H25" t="inlineStr">
        <is>
          <t>60%</t>
        </is>
      </c>
      <c r="I25" t="inlineStr">
        <is>
          <t>Medium</t>
        </is>
      </c>
      <c r="J25" t="inlineStr">
        <is>
          <t>Plant Processing</t>
        </is>
      </c>
      <c r="K25" t="inlineStr">
        <is>
          <t>Printing, Information Systems, Record-keeping</t>
        </is>
      </c>
      <c r="L25" t="inlineStr">
        <is>
          <t>MEDIUM</t>
        </is>
      </c>
      <c r="M25" t="inlineStr">
        <is>
          <t>Blender, window screens, rolling pins</t>
        </is>
      </c>
      <c r="N25" t="inlineStr">
        <is>
          <t>Blender speeds pulp processing dramatically</t>
        </is>
      </c>
    </row>
    <row r="26">
      <c r="A26" t="inlineStr">
        <is>
          <t>Soap Making</t>
        </is>
      </c>
      <c r="B26" t="inlineStr">
        <is>
          <t>#166</t>
        </is>
      </c>
      <c r="C26" t="inlineStr">
        <is>
          <t>1</t>
        </is>
      </c>
      <c r="D26" t="inlineStr">
        <is>
          <t>1</t>
        </is>
      </c>
      <c r="E26" t="inlineStr">
        <is>
          <t>Medical</t>
        </is>
      </c>
      <c r="F26" s="20" t="inlineStr">
        <is>
          <t>Wood ash lye, rendered fat, fire pit</t>
        </is>
      </c>
      <c r="G26" s="21" t="inlineStr">
        <is>
          <t>Store-bought lye (sodium hydroxide), thermometer, molds</t>
        </is>
      </c>
      <c r="H26" t="inlineStr">
        <is>
          <t>50%</t>
        </is>
      </c>
      <c r="I26" t="inlineStr">
        <is>
          <t>Medium</t>
        </is>
      </c>
      <c r="J26" t="inlineStr">
        <is>
          <t>Fire Control, Fat Rendering</t>
        </is>
      </c>
      <c r="K26" t="inlineStr">
        <is>
          <t>Hygiene, Disease Prevention</t>
        </is>
      </c>
      <c r="L26" t="inlineStr">
        <is>
          <t>MEDIUM</t>
        </is>
      </c>
      <c r="M26" t="inlineStr">
        <is>
          <t>Lye, thermometers, containers, molds</t>
        </is>
      </c>
      <c r="N26" t="inlineStr">
        <is>
          <t>Commercial lye more consistent than wood ash</t>
        </is>
      </c>
    </row>
    <row r="27">
      <c r="A27" t="inlineStr">
        <is>
          <t>Water Filtration</t>
        </is>
      </c>
      <c r="B27" t="inlineStr">
        <is>
          <t>#2</t>
        </is>
      </c>
      <c r="C27" t="inlineStr">
        <is>
          <t>1</t>
        </is>
      </c>
      <c r="D27" t="inlineStr">
        <is>
          <t>2</t>
        </is>
      </c>
      <c r="E27" t="inlineStr">
        <is>
          <t>Infrastructure</t>
        </is>
      </c>
      <c r="F27" s="20" t="inlineStr">
        <is>
          <t>Sand/gravel layers in carved wood/stone container</t>
        </is>
      </c>
      <c r="G27" s="21" t="inlineStr">
        <is>
          <t>Plastic buckets, PVC pipe, commercial filter elements</t>
        </is>
      </c>
      <c r="H27" t="inlineStr">
        <is>
          <t>60%</t>
        </is>
      </c>
      <c r="I27" t="inlineStr">
        <is>
          <t>High</t>
        </is>
      </c>
      <c r="J27" t="inlineStr">
        <is>
          <t>Watershed Mapping</t>
        </is>
      </c>
      <c r="K27" t="inlineStr">
        <is>
          <t>Clean Water, Disease Prevention</t>
        </is>
      </c>
      <c r="L27" s="22" t="inlineStr">
        <is>
          <t>HIGH</t>
        </is>
      </c>
      <c r="M27" t="inlineStr">
        <is>
          <t>Plastic buckets, filter cartridges, PVC pipe</t>
        </is>
      </c>
      <c r="N27" t="inlineStr">
        <is>
          <t>Plastic containers prevent leaks and contamination</t>
        </is>
      </c>
    </row>
    <row r="28">
      <c r="A28" t="inlineStr">
        <is>
          <t>Animal Husbandry</t>
        </is>
      </c>
      <c r="B28" t="inlineStr">
        <is>
          <t>N/A</t>
        </is>
      </c>
      <c r="C28" t="inlineStr">
        <is>
          <t>2</t>
        </is>
      </c>
      <c r="D28" t="inlineStr">
        <is>
          <t>6</t>
        </is>
      </c>
      <c r="E28" t="inlineStr">
        <is>
          <t>Animal Management</t>
        </is>
      </c>
      <c r="F28" s="20" t="inlineStr">
        <is>
          <t>Natural shelters, hand-gathered feed, visual observation</t>
        </is>
      </c>
      <c r="G28" s="21" t="inlineStr">
        <is>
          <t>Metal fencing, feed buckets, veterinary supplies, scales</t>
        </is>
      </c>
      <c r="H28" t="inlineStr">
        <is>
          <t>50%</t>
        </is>
      </c>
      <c r="I28" t="inlineStr">
        <is>
          <t>Medium</t>
        </is>
      </c>
      <c r="J28" t="inlineStr">
        <is>
          <t>Basic Animal Care, Feed Prep</t>
        </is>
      </c>
      <c r="K28" t="inlineStr">
        <is>
          <t>Dairy, Meat Processing, Selective Breeding</t>
        </is>
      </c>
      <c r="L28" t="inlineStr">
        <is>
          <t>MEDIUM</t>
        </is>
      </c>
      <c r="M28" t="inlineStr">
        <is>
          <t>Wire fencing, buckets, veterinary supplies, scales</t>
        </is>
      </c>
      <c r="N28" t="inlineStr">
        <is>
          <t>Modern fencing prevents losses to predators</t>
        </is>
      </c>
    </row>
    <row r="29">
      <c r="A29" t="inlineStr">
        <is>
          <t>Food Preservation</t>
        </is>
      </c>
      <c r="B29" t="inlineStr">
        <is>
          <t>N/A</t>
        </is>
      </c>
      <c r="C29" t="inlineStr">
        <is>
          <t>1</t>
        </is>
      </c>
      <c r="D29" t="inlineStr">
        <is>
          <t>4</t>
        </is>
      </c>
      <c r="E29" t="inlineStr">
        <is>
          <t>Agriculture</t>
        </is>
      </c>
      <c r="F29" s="20" t="inlineStr">
        <is>
          <t>Smoking over fire, sun drying, salt curing</t>
        </is>
      </c>
      <c r="G29" s="21" t="inlineStr">
        <is>
          <t>Canning jars with lids, pressure canner, vacuum sealer, freezer if power</t>
        </is>
      </c>
      <c r="H29" t="inlineStr">
        <is>
          <t>70%</t>
        </is>
      </c>
      <c r="I29" t="inlineStr">
        <is>
          <t>High</t>
        </is>
      </c>
      <c r="J29" t="inlineStr">
        <is>
          <t>Smoking, Salt Curing, Storage</t>
        </is>
      </c>
      <c r="K29" t="inlineStr">
        <is>
          <t>Food Security, Seasonal Planning</t>
        </is>
      </c>
      <c r="L29" s="22" t="inlineStr">
        <is>
          <t>HIGH</t>
        </is>
      </c>
      <c r="M29" t="inlineStr">
        <is>
          <t>Mason jars, pressure canner, vacuum sealer</t>
        </is>
      </c>
      <c r="N29" t="inlineStr">
        <is>
          <t>Canning dramatically extends storage life</t>
        </is>
      </c>
    </row>
    <row r="30">
      <c r="A30" t="inlineStr">
        <is>
          <t>Grain Milling</t>
        </is>
      </c>
      <c r="B30" t="inlineStr">
        <is>
          <t>N/A</t>
        </is>
      </c>
      <c r="C30" t="inlineStr">
        <is>
          <t>1</t>
        </is>
      </c>
      <c r="D30" t="inlineStr">
        <is>
          <t>3</t>
        </is>
      </c>
      <c r="E30" t="inlineStr">
        <is>
          <t>Agriculture</t>
        </is>
      </c>
      <c r="F30" s="20" t="inlineStr">
        <is>
          <t>Stone grinding by hand, wooden mortar and pestle</t>
        </is>
      </c>
      <c r="G30" s="21" t="inlineStr">
        <is>
          <t>Hand crank mill, electric grain mill, metal grinding plates</t>
        </is>
      </c>
      <c r="H30" t="inlineStr">
        <is>
          <t>75%</t>
        </is>
      </c>
      <c r="I30" t="inlineStr">
        <is>
          <t>High</t>
        </is>
      </c>
      <c r="J30" t="inlineStr">
        <is>
          <t>Water Wheel, Grain Storage</t>
        </is>
      </c>
      <c r="K30" t="inlineStr">
        <is>
          <t>Flour Production, Bread Making, Animal Feed</t>
        </is>
      </c>
      <c r="L30" t="inlineStr">
        <is>
          <t>MEDIUM</t>
        </is>
      </c>
      <c r="M30" t="inlineStr">
        <is>
          <t>Hand crank mill, electric mill</t>
        </is>
      </c>
      <c r="N30" t="inlineStr">
        <is>
          <t>Mechanical mills save hours of grinding</t>
        </is>
      </c>
    </row>
    <row r="31">
      <c r="A31" t="inlineStr">
        <is>
          <t>Textiles/Spinning</t>
        </is>
      </c>
      <c r="B31" t="inlineStr">
        <is>
          <t>#152</t>
        </is>
      </c>
      <c r="C31" t="inlineStr">
        <is>
          <t>1</t>
        </is>
      </c>
      <c r="D31" t="inlineStr">
        <is>
          <t>4</t>
        </is>
      </c>
      <c r="E31" t="inlineStr">
        <is>
          <t>Textiles</t>
        </is>
      </c>
      <c r="F31" s="20" t="inlineStr">
        <is>
          <t>Hand-twist fibers using stick spindle</t>
        </is>
      </c>
      <c r="G31" s="21" t="inlineStr">
        <is>
          <t>Spinning wheel (salvaged), drop spindle (improved), fiber processors</t>
        </is>
      </c>
      <c r="H31" t="inlineStr">
        <is>
          <t>70%</t>
        </is>
      </c>
      <c r="I31" t="inlineStr">
        <is>
          <t>High</t>
        </is>
      </c>
      <c r="J31" t="inlineStr">
        <is>
          <t>Fiber Preparation</t>
        </is>
      </c>
      <c r="K31" t="inlineStr">
        <is>
          <t>Thread Production, Weaving, Clothing</t>
        </is>
      </c>
      <c r="L31" t="inlineStr">
        <is>
          <t>LOW</t>
        </is>
      </c>
      <c r="M31" t="inlineStr">
        <is>
          <t>Spinning wheel, fiber cards</t>
        </is>
      </c>
      <c r="N31" t="inlineStr">
        <is>
          <t>Salvaged fabric usually better than making from scratch</t>
        </is>
      </c>
    </row>
    <row r="32">
      <c r="A32" t="inlineStr">
        <is>
          <t>Basic Shelter</t>
        </is>
      </c>
      <c r="B32" t="inlineStr">
        <is>
          <t>#160</t>
        </is>
      </c>
      <c r="C32" t="inlineStr">
        <is>
          <t>0</t>
        </is>
      </c>
      <c r="D32" t="inlineStr">
        <is>
          <t>1-2</t>
        </is>
      </c>
      <c r="E32" t="inlineStr">
        <is>
          <t>Infrastructure</t>
        </is>
      </c>
      <c r="F32" s="20" t="inlineStr">
        <is>
          <t>Debris hut, branches, leaves, natural materials</t>
        </is>
      </c>
      <c r="G32" s="21" t="inlineStr">
        <is>
          <t>Tarps, rope, tent poles, plastic sheeting, duct tape</t>
        </is>
      </c>
      <c r="H32" t="inlineStr">
        <is>
          <t>85%</t>
        </is>
      </c>
      <c r="I32" t="inlineStr">
        <is>
          <t>Very High</t>
        </is>
      </c>
      <c r="J32" t="inlineStr">
        <is>
          <t>None</t>
        </is>
      </c>
      <c r="K32" t="inlineStr">
        <is>
          <t>Weatherproof Shelter, Construction</t>
        </is>
      </c>
      <c r="L32" s="23" t="inlineStr">
        <is>
          <t>CRITICAL</t>
        </is>
      </c>
      <c r="M32" t="inlineStr">
        <is>
          <t>Tarps, rope, duct tape, plastic sheeting</t>
        </is>
      </c>
      <c r="N32" t="inlineStr">
        <is>
          <t>Tarp shelter built in minutes vs hours for debris hut</t>
        </is>
      </c>
    </row>
    <row r="33">
      <c r="A33" t="inlineStr">
        <is>
          <t>Trapping &amp; Snares</t>
        </is>
      </c>
      <c r="B33" t="inlineStr">
        <is>
          <t>N/A</t>
        </is>
      </c>
      <c r="C33" t="inlineStr">
        <is>
          <t>1</t>
        </is>
      </c>
      <c r="D33" t="inlineStr">
        <is>
          <t>3</t>
        </is>
      </c>
      <c r="E33" t="inlineStr">
        <is>
          <t>Animal Management</t>
        </is>
      </c>
      <c r="F33" s="20" t="inlineStr">
        <is>
          <t>Hand-twisted cordage, carved wood triggers</t>
        </is>
      </c>
      <c r="G33" s="21" t="inlineStr">
        <is>
          <t>Wire, metal springs, pre-made traps, modern rope</t>
        </is>
      </c>
      <c r="H33" t="inlineStr">
        <is>
          <t>60%</t>
        </is>
      </c>
      <c r="I33" t="inlineStr">
        <is>
          <t>Medium</t>
        </is>
      </c>
      <c r="J33" t="inlineStr">
        <is>
          <t>Rope Making, Animal Tracking</t>
        </is>
      </c>
      <c r="K33" t="inlineStr">
        <is>
          <t>Pest Control, Game Management, Hunting</t>
        </is>
      </c>
      <c r="L33" t="inlineStr">
        <is>
          <t>MEDIUM</t>
        </is>
      </c>
      <c r="M33" t="inlineStr">
        <is>
          <t>Wire, metal springs, modern rope</t>
        </is>
      </c>
      <c r="N33" t="inlineStr">
        <is>
          <t>Wire snares more reliable than cordage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CLIMATE &amp; TERRAIN ADAPTATIONS</t>
        </is>
      </c>
    </row>
    <row r="3">
      <c r="A3" s="2" t="inlineStr">
        <is>
          <t>Skill</t>
        </is>
      </c>
      <c r="B3" s="2" t="inlineStr">
        <is>
          <t>Default (Temperate)</t>
        </is>
      </c>
      <c r="C3" s="2" t="inlineStr">
        <is>
          <t>Desert/Arid</t>
        </is>
      </c>
      <c r="D3" s="2" t="inlineStr">
        <is>
          <t>Tropical/Humid</t>
        </is>
      </c>
      <c r="E3" s="2" t="inlineStr">
        <is>
          <t>Arctic/Cold</t>
        </is>
      </c>
      <c r="F3" s="2" t="inlineStr">
        <is>
          <t>Coastal</t>
        </is>
      </c>
      <c r="G3" s="2" t="inlineStr">
        <is>
          <t>Mountain</t>
        </is>
      </c>
      <c r="H3" s="2" t="inlineStr">
        <is>
          <t>Plains</t>
        </is>
      </c>
    </row>
    <row r="4">
      <c r="A4" s="3" t="inlineStr">
        <is>
          <t>Watershed Mapping</t>
        </is>
      </c>
      <c r="B4" s="3" t="inlineStr">
        <is>
          <t>Springs, streams, rivers</t>
        </is>
      </c>
      <c r="C4" s="3" t="inlineStr">
        <is>
          <t>Focus on underground aquifers, dry washes, rare springs - GPS critical for finding seasonal water</t>
        </is>
      </c>
      <c r="D4" s="3" t="inlineStr">
        <is>
          <t>Abundant surface water, focus on filtration due to parasites, map flood zones</t>
        </is>
      </c>
      <c r="E4" s="3" t="inlineStr">
        <is>
          <t>Ice/snow as water source, spring melt mapping, permafrost considerations</t>
        </is>
      </c>
      <c r="F4" s="3" t="inlineStr">
        <is>
          <t>Tidal patterns, saltwater vs freshwater sources, storm surge mapping</t>
        </is>
      </c>
      <c r="G4" s="3" t="inlineStr">
        <is>
          <t>Elevation-based sources, snowmelt tracking, steep terrain challenges</t>
        </is>
      </c>
      <c r="H4" s="3" t="inlineStr">
        <is>
          <t>Groundwater wells primary, few surface sources, wind-powered pumps useful</t>
        </is>
      </c>
    </row>
    <row r="5">
      <c r="A5" s="3" t="inlineStr">
        <is>
          <t>Fire Control</t>
        </is>
      </c>
      <c r="B5" s="3" t="inlineStr">
        <is>
          <t>Wood readily available</t>
        </is>
      </c>
      <c r="C5" s="3" t="inlineStr">
        <is>
          <t>Use dried dung, sparse wood, conserve fuel - solar ignition viable, reflectors helpful</t>
        </is>
      </c>
      <c r="D5" s="3" t="inlineStr">
        <is>
          <t>Wet wood requires drying, covered fire areas essential, fungal tinder</t>
        </is>
      </c>
      <c r="E5" s="3" t="inlineStr">
        <is>
          <t>Extreme fuel conservation, fat/oil burning, snow melting uses huge fuel</t>
        </is>
      </c>
      <c r="F5" s="3" t="inlineStr">
        <is>
          <t>Driftwood, dried seaweed, salt affects burning, wind protection crucial</t>
        </is>
      </c>
      <c r="G5" s="3" t="inlineStr">
        <is>
          <t>Altitude affects burning, less oxygen, dry wood at elevation</t>
        </is>
      </c>
      <c r="H5" s="3" t="inlineStr">
        <is>
          <t>Grass/dung primary fuels, minimal wood, wind breaks essential</t>
        </is>
      </c>
    </row>
    <row r="6">
      <c r="A6" s="3" t="inlineStr">
        <is>
          <t>Agriculture</t>
        </is>
      </c>
      <c r="B6" s="3" t="inlineStr">
        <is>
          <t>Four season crops</t>
        </is>
      </c>
      <c r="C6" s="3" t="inlineStr">
        <is>
          <t>Drip irrigation critical, shade cloth, desert-adapted crops (dates, mesquite), night harvesting</t>
        </is>
      </c>
      <c r="D6" s="3" t="inlineStr">
        <is>
          <t>Year-round growing, disease pressure high, raised beds for drainage, tropical crops</t>
        </is>
      </c>
      <c r="E6" s="3" t="inlineStr">
        <is>
          <t>Short growing season, root cellars, greenhouses, cold-hardy crops only</t>
        </is>
      </c>
      <c r="F6" s="3" t="inlineStr">
        <is>
          <t>Salt-tolerant crops, wind protection, sandy soil amendments</t>
        </is>
      </c>
      <c r="G6" s="3" t="inlineStr">
        <is>
          <t>Terracing essential, short season, cold-hardy varieties, frost management</t>
        </is>
      </c>
      <c r="H6" s="3" t="inlineStr">
        <is>
          <t>Wind protection, irrigation critical, deep-rooted crops, soil conservation</t>
        </is>
      </c>
    </row>
    <row r="7">
      <c r="A7" s="3" t="inlineStr">
        <is>
          <t>Shelter Construction</t>
        </is>
      </c>
      <c r="B7" s="3" t="inlineStr">
        <is>
          <t>Wood frame, moderate insulation</t>
        </is>
      </c>
      <c r="C7" s="3" t="inlineStr">
        <is>
          <t>Thermal mass (adobe, stone), minimal windows, underground cooling, shade structures</t>
        </is>
      </c>
      <c r="D7" s="3" t="inlineStr">
        <is>
          <t>Raised floors (flood/pest), steep roofs (rain), ventilation critical, rot-resistant wood</t>
        </is>
      </c>
      <c r="E7" s="3" t="inlineStr">
        <is>
          <t>Extreme insulation, south-facing windows, small openings, earth sheltering</t>
        </is>
      </c>
      <c r="F7" s="3" t="inlineStr">
        <is>
          <t>Storm resistance, salt-resistant materials, elevated foundations, wind load</t>
        </is>
      </c>
      <c r="G7" s="3" t="inlineStr">
        <is>
          <t>Steep roofs (snow), small footprint (heat), stone/earth building</t>
        </is>
      </c>
      <c r="H7" s="3" t="inlineStr">
        <is>
          <t>Sod/earth construction, wind resistance, minimal wood, root cellars</t>
        </is>
      </c>
    </row>
    <row r="8">
      <c r="A8" s="3" t="inlineStr">
        <is>
          <t>Pottery/Ceramics</t>
        </is>
      </c>
      <c r="B8" s="3" t="inlineStr">
        <is>
          <t>Standard kiln firing</t>
        </is>
      </c>
      <c r="C8" s="3" t="inlineStr">
        <is>
          <t>Abundant sun drying, less fuel for firing, thermal mass storage</t>
        </is>
      </c>
      <c r="D8" s="3" t="inlineStr">
        <is>
          <t>Extended drying needed (humidity), covered drying areas, mold prevention</t>
        </is>
      </c>
      <c r="E8" s="3" t="inlineStr">
        <is>
          <t>Indoor drying only, glazes crack in freeze-thaw, limited outdoor work</t>
        </is>
      </c>
      <c r="F8" s="3" t="inlineStr">
        <is>
          <t>Salt glaze techniques, moisture control in storage</t>
        </is>
      </c>
      <c r="G8" s="3" t="inlineStr">
        <is>
          <t>Altitude affects firing, longer pre-heat, dry air helps</t>
        </is>
      </c>
      <c r="H8" s="3" t="inlineStr">
        <is>
          <t>Abundant clay often available, wind-dry works well</t>
        </is>
      </c>
    </row>
    <row r="9">
      <c r="A9" s="3" t="inlineStr">
        <is>
          <t>Metallurgy</t>
        </is>
      </c>
      <c r="B9" s="3" t="inlineStr">
        <is>
          <t>Standard bloomery</t>
        </is>
      </c>
      <c r="C9" s="3" t="inlineStr">
        <is>
          <t>Fuel scarcity major issue - salvage metals instead of smelting, solar forge experiments</t>
        </is>
      </c>
      <c r="D9" s="3" t="inlineStr">
        <is>
          <t>Moisture control critical, covered work areas, rust prevention</t>
        </is>
      </c>
      <c r="E9" s="3" t="inlineStr">
        <is>
          <t>Indoor work only, frost affects quenching, cold metal handling</t>
        </is>
      </c>
      <c r="F9" s="3" t="inlineStr">
        <is>
          <t>Salt corrosion issue, protective coatings essential</t>
        </is>
      </c>
      <c r="G9" s="3" t="inlineStr">
        <is>
          <t>Charcoal production easier (dry wood), altitude affects combustion</t>
        </is>
      </c>
      <c r="H9" s="3" t="inlineStr">
        <is>
          <t>Limited fuel - prioritize salvage over smelting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35" customWidth="1" min="4" max="4"/>
    <col width="35" customWidth="1" min="5" max="5"/>
    <col width="25" customWidth="1" min="6" max="6"/>
    <col width="30" customWidth="1" min="7" max="7"/>
  </cols>
  <sheetData>
    <row r="1">
      <c r="A1" s="1" t="inlineStr">
        <is>
          <t>EFFICIENT TRANSITION PATHS: PRIMITIVE → MODERN</t>
        </is>
      </c>
    </row>
    <row r="3">
      <c r="A3" s="2" t="inlineStr">
        <is>
          <t>Domain</t>
        </is>
      </c>
      <c r="B3" s="2" t="inlineStr">
        <is>
          <t>Stage 1: Survival (Week 1-4)</t>
        </is>
      </c>
      <c r="C3" s="2" t="inlineStr">
        <is>
          <t>Stage 2: Salvage Integration (Week 4-12)</t>
        </is>
      </c>
      <c r="D3" s="2" t="inlineStr">
        <is>
          <t>Stage 3: Hybrid Systems (Week 12-24)</t>
        </is>
      </c>
      <c r="E3" s="2" t="inlineStr">
        <is>
          <t>Stage 4: Modern Methods (Week 24+)</t>
        </is>
      </c>
      <c r="F3" s="2" t="inlineStr">
        <is>
          <t>Key Transition Trigger</t>
        </is>
      </c>
      <c r="G3" s="2" t="inlineStr">
        <is>
          <t>Notes</t>
        </is>
      </c>
    </row>
    <row r="4">
      <c r="A4" s="3" t="inlineStr">
        <is>
          <t>Fire &amp; Heat</t>
        </is>
      </c>
      <c r="B4" s="8" t="inlineStr">
        <is>
          <t>Friction fire, fire lay, natural tinders</t>
        </is>
      </c>
      <c r="C4" s="5" t="inlineStr">
        <is>
          <t>Add lighter/matches for convenience, keep friction skills</t>
        </is>
      </c>
      <c r="D4" s="9" t="inlineStr">
        <is>
          <t>Propane/gas burners for precision work, maintain wood skills for backup</t>
        </is>
      </c>
      <c r="E4" s="3" t="inlineStr">
        <is>
          <t>Electric heating where available, gas backup, primitive knowledge retained</t>
        </is>
      </c>
      <c r="F4" s="3" t="inlineStr">
        <is>
          <t>Finding reliable salvage ignition sources</t>
        </is>
      </c>
      <c r="G4" s="3" t="inlineStr">
        <is>
          <t>Always maintain primitive skills as backup</t>
        </is>
      </c>
    </row>
    <row r="5">
      <c r="A5" s="3" t="inlineStr">
        <is>
          <t>Water Systems</t>
        </is>
      </c>
      <c r="B5" s="8" t="inlineStr">
        <is>
          <t>Hand-carry from source, basic filtration</t>
        </is>
      </c>
      <c r="C5" s="5" t="inlineStr">
        <is>
          <t>PVC pipe for transport, gravity feed systems, salvaged filters</t>
        </is>
      </c>
      <c r="D5" s="9" t="inlineStr">
        <is>
          <t>Hand pump or electric pump with solar, multi-stage filtration</t>
        </is>
      </c>
      <c r="E5" s="3" t="inlineStr">
        <is>
          <t>Pressurized plumbing, automated treatment, backup manual systems</t>
        </is>
      </c>
      <c r="F5" s="3" t="inlineStr">
        <is>
          <t>Securing sufficient pipe/pump salvage</t>
        </is>
      </c>
      <c r="G5" s="3" t="inlineStr">
        <is>
          <t>Gravity systems work without power</t>
        </is>
      </c>
    </row>
    <row r="6">
      <c r="A6" s="3" t="inlineStr">
        <is>
          <t>Metal Working</t>
        </is>
      </c>
      <c r="B6" s="8" t="inlineStr">
        <is>
          <t>Stone/wood tools only</t>
        </is>
      </c>
      <c r="C6" s="5" t="inlineStr">
        <is>
          <t>Salvage metal tools first (hammers, chisels, saws)</t>
        </is>
      </c>
      <c r="D6" s="9" t="inlineStr">
        <is>
          <t>Simple bloomery with salvaged blower, modify salvaged tools</t>
        </is>
      </c>
      <c r="E6" s="3" t="inlineStr">
        <is>
          <t>Full forge setup, advanced heat treatment, precision grinding</t>
        </is>
      </c>
      <c r="F6" s="3" t="inlineStr">
        <is>
          <t>Getting a working bellows/blower</t>
        </is>
      </c>
      <c r="G6" s="3" t="inlineStr">
        <is>
          <t>Salvage tools before smelting</t>
        </is>
      </c>
    </row>
    <row r="7">
      <c r="A7" s="3" t="inlineStr">
        <is>
          <t>Agriculture</t>
        </is>
      </c>
      <c r="B7" s="8" t="inlineStr">
        <is>
          <t>Hand tools (sticks/stones), natural fertilizer</t>
        </is>
      </c>
      <c r="C7" s="5" t="inlineStr">
        <is>
          <t>Metal shovels/hoes, PVC irrigation, saved seeds</t>
        </is>
      </c>
      <c r="D7" s="9" t="inlineStr">
        <is>
          <t>Animal or small engine tilling, drip systems, composting</t>
        </is>
      </c>
      <c r="E7" s="3" t="inlineStr">
        <is>
          <t>Mechanized equipment, synthetic fertilizer if available</t>
        </is>
      </c>
      <c r="F7" s="3" t="inlineStr">
        <is>
          <t>Finding metal hand tools</t>
        </is>
      </c>
      <c r="G7" s="3" t="inlineStr">
        <is>
          <t>Small-scale can sustain community</t>
        </is>
      </c>
    </row>
    <row r="8">
      <c r="A8" s="3" t="inlineStr">
        <is>
          <t>Power Generation</t>
        </is>
      </c>
      <c r="B8" s="8" t="inlineStr">
        <is>
          <t>Human/animal power only</t>
        </is>
      </c>
      <c r="C8" s="5" t="inlineStr">
        <is>
          <t>Basic water wheel with salvaged parts</t>
        </is>
      </c>
      <c r="D8" s="9" t="inlineStr">
        <is>
          <t>Water wheel → small generator, battery bank</t>
        </is>
      </c>
      <c r="E8" s="3" t="inlineStr">
        <is>
          <t>Reliable electrical grid from hydro/solar/wind</t>
        </is>
      </c>
      <c r="F8" s="3" t="inlineStr">
        <is>
          <t>Building functional generator</t>
        </is>
      </c>
      <c r="G8" s="3" t="inlineStr">
        <is>
          <t>Water power more reliable than solar in most climates</t>
        </is>
      </c>
    </row>
    <row r="9">
      <c r="A9" s="3" t="inlineStr">
        <is>
          <t>Shelter</t>
        </is>
      </c>
      <c r="B9" s="8" t="inlineStr">
        <is>
          <t>Primitive (debris hut, lean-to)</t>
        </is>
      </c>
      <c r="C9" s="5" t="inlineStr">
        <is>
          <t>Salvaged materials (tarps, metal roofing, lumber)</t>
        </is>
      </c>
      <c r="D9" s="9" t="inlineStr">
        <is>
          <t>Hybrid (traditional frame + salvaged components)</t>
        </is>
      </c>
      <c r="E9" s="3" t="inlineStr">
        <is>
          <t>Full modern construction techniques</t>
        </is>
      </c>
      <c r="F9" s="3" t="inlineStr">
        <is>
          <t>Accumulating enough building materials</t>
        </is>
      </c>
      <c r="G9" s="3" t="inlineStr">
        <is>
          <t>Salvaged tarps immediate game-changer</t>
        </is>
      </c>
    </row>
    <row r="10">
      <c r="A10" s="3" t="inlineStr">
        <is>
          <t>Food Preservation</t>
        </is>
      </c>
      <c r="B10" s="8" t="inlineStr">
        <is>
          <t>Smoking, salt curing, drying</t>
        </is>
      </c>
      <c r="C10" s="5" t="inlineStr">
        <is>
          <t>Add salvaged jars/containers, better temperature control</t>
        </is>
      </c>
      <c r="D10" s="9" t="inlineStr">
        <is>
          <t>Propane/electric refrigeration if available, canning</t>
        </is>
      </c>
      <c r="E10" s="3" t="inlineStr">
        <is>
          <t>Freezers, vacuum sealing, modern canning</t>
        </is>
      </c>
      <c r="F10" s="3" t="inlineStr">
        <is>
          <t>Finding working refrigeration</t>
        </is>
      </c>
      <c r="G10" s="3" t="inlineStr">
        <is>
          <t>Traditional methods still valuable</t>
        </is>
      </c>
    </row>
    <row r="11">
      <c r="A11" s="3" t="inlineStr">
        <is>
          <t>Tool Making</t>
        </is>
      </c>
      <c r="B11" s="8" t="inlineStr">
        <is>
          <t>Stone, bone, wood tools</t>
        </is>
      </c>
      <c r="C11" s="5" t="inlineStr">
        <is>
          <t>Modify salvaged tools, sharpen found blades</t>
        </is>
      </c>
      <c r="D11" s="9" t="inlineStr">
        <is>
          <t>Forge new tools from salvage metal, heat treatment</t>
        </is>
      </c>
      <c r="E11" s="3" t="inlineStr">
        <is>
          <t>Precision machining, specialized tools</t>
        </is>
      </c>
      <c r="F11" s="3" t="inlineStr">
        <is>
          <t>Establishing forge capability</t>
        </is>
      </c>
      <c r="G11" s="3" t="inlineStr">
        <is>
          <t>Modified salvaged tools often better than handmade</t>
        </is>
      </c>
    </row>
    <row r="12">
      <c r="A12" s="3" t="inlineStr">
        <is>
          <t>Textiles</t>
        </is>
      </c>
      <c r="B12" s="8" t="inlineStr">
        <is>
          <t>Hand-twisted plant fiber cordage</t>
        </is>
      </c>
      <c r="C12" s="5" t="inlineStr">
        <is>
          <t>Salvage rope, fabric, thread - no need to make</t>
        </is>
      </c>
      <c r="D12" s="9" t="inlineStr">
        <is>
          <t>Simple repairs to salvaged textiles, basic sewing</t>
        </is>
      </c>
      <c r="E12" s="3" t="inlineStr">
        <is>
          <t>Full textile production if needed, mostly use salvage</t>
        </is>
      </c>
      <c r="F12" s="3" t="inlineStr">
        <is>
          <t>Finding adequate salvaged materials</t>
        </is>
      </c>
      <c r="G12" s="3" t="inlineStr">
        <is>
          <t>Vast salvage available makes production unnecessary</t>
        </is>
      </c>
    </row>
    <row r="13">
      <c r="A13" s="3" t="inlineStr">
        <is>
          <t>Transportation</t>
        </is>
      </c>
      <c r="B13" s="8" t="inlineStr">
        <is>
          <t>Walking, hand-carry</t>
        </is>
      </c>
      <c r="C13" s="5" t="inlineStr">
        <is>
          <t>Salvaged carts, wheelbarrows, bicycles</t>
        </is>
      </c>
      <c r="D13" s="9" t="inlineStr">
        <is>
          <t>Animal-drawn carts with salvaged wheels/bearings</t>
        </is>
      </c>
      <c r="E13" s="3" t="inlineStr">
        <is>
          <t>Vehicles if fuel available, maintain animal backup</t>
        </is>
      </c>
      <c r="F13" s="3" t="inlineStr">
        <is>
          <t>Finding wheels and bearings</t>
        </is>
      </c>
      <c r="G13" s="3" t="inlineStr">
        <is>
          <t>Bicycles incredibly valuable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5" customWidth="1" min="4" max="4"/>
    <col width="12" customWidth="1" min="5" max="5"/>
    <col width="35" customWidth="1" min="6" max="6"/>
    <col width="35" customWidth="1" min="7" max="7"/>
  </cols>
  <sheetData>
    <row r="1">
      <c r="A1" s="1" t="inlineStr">
        <is>
          <t>MATERIAL SUBSTITUTIONS: SALVAGE REPLACEMENTS</t>
        </is>
      </c>
    </row>
    <row r="3">
      <c r="A3" s="2" t="inlineStr">
        <is>
          <t>Traditional Material</t>
        </is>
      </c>
      <c r="B3" s="2" t="inlineStr">
        <is>
          <t>Purpose</t>
        </is>
      </c>
      <c r="C3" s="2" t="inlineStr">
        <is>
          <t>Modern Salvage Options</t>
        </is>
      </c>
      <c r="D3" s="2" t="inlineStr">
        <is>
          <t>Performance vs Traditional</t>
        </is>
      </c>
      <c r="E3" s="2" t="inlineStr">
        <is>
          <t>Salvage Priority</t>
        </is>
      </c>
      <c r="F3" s="2" t="inlineStr">
        <is>
          <t>Where to Find</t>
        </is>
      </c>
      <c r="G3" s="2" t="inlineStr">
        <is>
          <t>Notes</t>
        </is>
      </c>
    </row>
    <row r="4">
      <c r="A4" s="3" t="inlineStr">
        <is>
          <t>Twisted plant fiber rope</t>
        </is>
      </c>
      <c r="B4" s="3" t="inlineStr">
        <is>
          <t>Binding, construction, tools</t>
        </is>
      </c>
      <c r="C4" s="3" t="inlineStr">
        <is>
          <t>Paracord, nylon rope, wire rope, fishing line, wire</t>
        </is>
      </c>
      <c r="D4" s="3" t="inlineStr">
        <is>
          <t>10-100x stronger, weather resistant, no rot</t>
        </is>
      </c>
      <c r="E4" s="6" t="inlineStr">
        <is>
          <t>CRITICAL</t>
        </is>
      </c>
      <c r="F4" s="3" t="inlineStr">
        <is>
          <t>Hardware stores, boats, vehicles, camping gear</t>
        </is>
      </c>
      <c r="G4" s="3" t="inlineStr">
        <is>
          <t>No reason to make rope when salvage available</t>
        </is>
      </c>
    </row>
    <row r="5">
      <c r="A5" s="3" t="inlineStr">
        <is>
          <t>Stone/bone tools</t>
        </is>
      </c>
      <c r="B5" s="3" t="inlineStr">
        <is>
          <t>Cutting, scraping, digging</t>
        </is>
      </c>
      <c r="C5" s="3" t="inlineStr">
        <is>
          <t>Metal knives, saws, chisels, axes, shovels, scissors</t>
        </is>
      </c>
      <c r="D5" s="3" t="inlineStr">
        <is>
          <t>50-100x more efficient, stay sharp longer</t>
        </is>
      </c>
      <c r="E5" s="6" t="inlineStr">
        <is>
          <t>CRITICAL</t>
        </is>
      </c>
      <c r="F5" s="3" t="inlineStr">
        <is>
          <t>Anywhere with human habitation</t>
        </is>
      </c>
      <c r="G5" s="3" t="inlineStr">
        <is>
          <t>First priority salvage item</t>
        </is>
      </c>
    </row>
    <row r="6">
      <c r="A6" s="3" t="inlineStr">
        <is>
          <t>Clay containers</t>
        </is>
      </c>
      <c r="B6" s="3" t="inlineStr">
        <is>
          <t>Storage, cooking, water</t>
        </is>
      </c>
      <c r="C6" s="3" t="inlineStr">
        <is>
          <t>Plastic buckets, metal pots, glass jars, bottles</t>
        </is>
      </c>
      <c r="D6" s="3" t="inlineStr">
        <is>
          <t>Unbreakable, lighter, waterproof, easier to clean</t>
        </is>
      </c>
      <c r="E6" s="7" t="inlineStr">
        <is>
          <t>HIGH</t>
        </is>
      </c>
      <c r="F6" s="3" t="inlineStr">
        <is>
          <t>Kitchens, garages, restaurants, warehouses</t>
        </is>
      </c>
      <c r="G6" s="3" t="inlineStr">
        <is>
          <t>Plastic buckets are incredibly versatile</t>
        </is>
      </c>
    </row>
    <row r="7">
      <c r="A7" s="3" t="inlineStr">
        <is>
          <t>Woven plant baskets</t>
        </is>
      </c>
      <c r="B7" s="3" t="inlineStr">
        <is>
          <t>Carrying, storage</t>
        </is>
      </c>
      <c r="C7" s="3" t="inlineStr">
        <is>
          <t>Backpacks, plastic bins, cardboard boxes, bags</t>
        </is>
      </c>
      <c r="D7" s="3" t="inlineStr">
        <is>
          <t>Much stronger, waterproof, easier to make/find</t>
        </is>
      </c>
      <c r="E7" s="10" t="inlineStr">
        <is>
          <t>MEDIUM</t>
        </is>
      </c>
      <c r="F7" s="3" t="inlineStr">
        <is>
          <t>Retail stores, homes, anywhere</t>
        </is>
      </c>
      <c r="G7" s="3" t="inlineStr">
        <is>
          <t>Abundant everywhere</t>
        </is>
      </c>
    </row>
    <row r="8">
      <c r="A8" s="3" t="inlineStr">
        <is>
          <t>Hand-carved wood wheels</t>
        </is>
      </c>
      <c r="B8" s="3" t="inlineStr">
        <is>
          <t>Transportation, machinery</t>
        </is>
      </c>
      <c r="C8" s="3" t="inlineStr">
        <is>
          <t>Bicycle wheels, car wheels, pulleys, bearings</t>
        </is>
      </c>
      <c r="D8" s="3" t="inlineStr">
        <is>
          <t>Perfect roundness, ball bearings, metal rim</t>
        </is>
      </c>
      <c r="E8" s="6" t="inlineStr">
        <is>
          <t>CRITICAL</t>
        </is>
      </c>
      <c r="F8" s="3" t="inlineStr">
        <is>
          <t>Bicycles, cars, machinery, industrial sites</t>
        </is>
      </c>
      <c r="G8" s="3" t="inlineStr">
        <is>
          <t>Ball bearings are revolutionary</t>
        </is>
      </c>
    </row>
    <row r="9">
      <c r="A9" s="3" t="inlineStr">
        <is>
          <t>Stone bearings</t>
        </is>
      </c>
      <c r="B9" s="3" t="inlineStr">
        <is>
          <t>Rotation, reduced friction</t>
        </is>
      </c>
      <c r="C9" s="3" t="inlineStr">
        <is>
          <t>Ball bearings, roller bearings, bronze bushings</t>
        </is>
      </c>
      <c r="D9" s="3" t="inlineStr">
        <is>
          <t>100-1000x less friction, precision made</t>
        </is>
      </c>
      <c r="E9" s="6" t="inlineStr">
        <is>
          <t>CRITICAL</t>
        </is>
      </c>
      <c r="F9" s="3" t="inlineStr">
        <is>
          <t>Any rotating machinery, vehicles, appliances</t>
        </is>
      </c>
      <c r="G9" s="3" t="inlineStr">
        <is>
          <t>Enables efficient power transmission</t>
        </is>
      </c>
    </row>
    <row r="10">
      <c r="A10" s="3" t="inlineStr">
        <is>
          <t>Charcoal/wood fuel</t>
        </is>
      </c>
      <c r="B10" s="3" t="inlineStr">
        <is>
          <t>Heat for metallurgy</t>
        </is>
      </c>
      <c r="C10" s="3" t="inlineStr">
        <is>
          <t>Propane, natural gas, gasoline, diesel, coal</t>
        </is>
      </c>
      <c r="D10" s="3" t="inlineStr">
        <is>
          <t>Higher temperature, precise control, cleaner</t>
        </is>
      </c>
      <c r="E10" s="7" t="inlineStr">
        <is>
          <t>HIGH</t>
        </is>
      </c>
      <c r="F10" s="3" t="inlineStr">
        <is>
          <t>Gas stations, propane tanks, vehicles</t>
        </is>
      </c>
      <c r="G10" s="3" t="inlineStr">
        <is>
          <t>Temperature control vastly easier</t>
        </is>
      </c>
    </row>
    <row r="11">
      <c r="A11" s="3" t="inlineStr">
        <is>
          <t>Hand-carved wooden pipes</t>
        </is>
      </c>
      <c r="B11" s="3" t="inlineStr">
        <is>
          <t>Water transport</t>
        </is>
      </c>
      <c r="C11" s="3" t="inlineStr">
        <is>
          <t>PVC pipe, copper pipe, garden hose, metal pipe</t>
        </is>
      </c>
      <c r="D11" s="3" t="inlineStr">
        <is>
          <t>Waterproof, durable, easy to join, long sections</t>
        </is>
      </c>
      <c r="E11" s="6" t="inlineStr">
        <is>
          <t>CRITICAL</t>
        </is>
      </c>
      <c r="F11" s="3" t="inlineStr">
        <is>
          <t>Plumbing, construction sites, hardware stores</t>
        </is>
      </c>
      <c r="G11" s="3" t="inlineStr">
        <is>
          <t>PVC pipe is civilization-changing technology</t>
        </is>
      </c>
    </row>
    <row r="12">
      <c r="A12" s="3" t="inlineStr">
        <is>
          <t>Animal hide/plant fiber</t>
        </is>
      </c>
      <c r="B12" s="3" t="inlineStr">
        <is>
          <t>Clothing, shelter</t>
        </is>
      </c>
      <c r="C12" s="3" t="inlineStr">
        <is>
          <t>Fabric, tarps, plastic sheeting, leather jackets</t>
        </is>
      </c>
      <c r="D12" s="3" t="inlineStr">
        <is>
          <t>Pre-made, waterproof, durable</t>
        </is>
      </c>
      <c r="E12" s="7" t="inlineStr">
        <is>
          <t>HIGH</t>
        </is>
      </c>
      <c r="F12" s="3" t="inlineStr">
        <is>
          <t>Clothing stores, homes, camping stores</t>
        </is>
      </c>
      <c r="G12" s="3" t="inlineStr">
        <is>
          <t>Tarps especially valuable for shelter</t>
        </is>
      </c>
    </row>
    <row r="13">
      <c r="A13" s="3" t="inlineStr">
        <is>
          <t>Stone grinding wheels</t>
        </is>
      </c>
      <c r="B13" s="3" t="inlineStr">
        <is>
          <t>Grain milling, sharpening</t>
        </is>
      </c>
      <c r="C13" s="3" t="inlineStr">
        <is>
          <t>Metal grinders, sandpaper, whetstones, files</t>
        </is>
      </c>
      <c r="D13" s="3" t="inlineStr">
        <is>
          <t>Faster, more even, replaceable</t>
        </is>
      </c>
      <c r="E13" s="10" t="inlineStr">
        <is>
          <t>MEDIUM</t>
        </is>
      </c>
      <c r="F13" s="3" t="inlineStr">
        <is>
          <t>Workshops, kitchens, garages</t>
        </is>
      </c>
      <c r="G13" s="3" t="inlineStr">
        <is>
          <t>Sandpaper alone is huge upgrade</t>
        </is>
      </c>
    </row>
    <row r="14">
      <c r="A14" s="3" t="inlineStr">
        <is>
          <t>Natural tinder</t>
        </is>
      </c>
      <c r="B14" s="3" t="inlineStr">
        <is>
          <t>Fire starting</t>
        </is>
      </c>
      <c r="C14" s="3" t="inlineStr">
        <is>
          <t>Lighters, matches, magnesium rods, paper</t>
        </is>
      </c>
      <c r="D14" s="3" t="inlineStr">
        <is>
          <t>99% success rate vs 30-50%</t>
        </is>
      </c>
      <c r="E14" s="7" t="inlineStr">
        <is>
          <t>HIGH</t>
        </is>
      </c>
      <c r="F14" s="3" t="inlineStr">
        <is>
          <t>Stores, homes, vehicles</t>
        </is>
      </c>
      <c r="G14" s="3" t="inlineStr">
        <is>
          <t>Eliminate hours of frustration</t>
        </is>
      </c>
    </row>
    <row r="15">
      <c r="A15" s="3" t="inlineStr">
        <is>
          <t>Leather strips</t>
        </is>
      </c>
      <c r="B15" s="3" t="inlineStr">
        <is>
          <t>Binding, belts, hinges</t>
        </is>
      </c>
      <c r="C15" s="3" t="inlineStr">
        <is>
          <t>Duct tape, zip ties, metal fasteners, screws</t>
        </is>
      </c>
      <c r="D15" s="3" t="inlineStr">
        <is>
          <t>Stronger, faster to apply, waterproof</t>
        </is>
      </c>
      <c r="E15" s="7" t="inlineStr">
        <is>
          <t>HIGH</t>
        </is>
      </c>
      <c r="F15" s="3" t="inlineStr">
        <is>
          <t>Anywhere, duct tape ubiquitous</t>
        </is>
      </c>
      <c r="G15" s="3" t="inlineStr">
        <is>
          <t>Duct tape solves countless problems</t>
        </is>
      </c>
    </row>
    <row r="16">
      <c r="A16" s="3" t="inlineStr">
        <is>
          <t>Hand-chipped stone blades</t>
        </is>
      </c>
      <c r="B16" s="3" t="inlineStr">
        <is>
          <t>Cutting</t>
        </is>
      </c>
      <c r="C16" s="3" t="inlineStr">
        <is>
          <t>Razor blades, box cutters, utility knives</t>
        </is>
      </c>
      <c r="D16" s="3" t="inlineStr">
        <is>
          <t>Infinitely sharper, replaceable, safer</t>
        </is>
      </c>
      <c r="E16" s="7" t="inlineStr">
        <is>
          <t>HIGH</t>
        </is>
      </c>
      <c r="F16" s="3" t="inlineStr">
        <is>
          <t>Stores, workshops, bathrooms</t>
        </is>
      </c>
      <c r="G16" s="3" t="inlineStr">
        <is>
          <t>Incredible edge retention</t>
        </is>
      </c>
    </row>
    <row r="17">
      <c r="A17" s="3" t="inlineStr">
        <is>
          <t>Clay/stone crucibles</t>
        </is>
      </c>
      <c r="B17" s="3" t="inlineStr">
        <is>
          <t>Metal melting</t>
        </is>
      </c>
      <c r="C17" s="3" t="inlineStr">
        <is>
          <t>Steel cans, cast iron pots, fire bricks</t>
        </is>
      </c>
      <c r="D17" s="3" t="inlineStr">
        <is>
          <t>Higher temperature tolerance, easier to make</t>
        </is>
      </c>
      <c r="E17" s="10" t="inlineStr">
        <is>
          <t>MEDIUM</t>
        </is>
      </c>
      <c r="F17" s="3" t="inlineStr">
        <is>
          <t>Kitchens, industrial sites</t>
        </is>
      </c>
      <c r="G17" s="3" t="inlineStr">
        <is>
          <t>Steel cans surprisingly effective</t>
        </is>
      </c>
    </row>
    <row r="18">
      <c r="A18" s="3" t="inlineStr">
        <is>
          <t>Wooden handles</t>
        </is>
      </c>
      <c r="B18" s="3" t="inlineStr">
        <is>
          <t>Tool handles</t>
        </is>
      </c>
      <c r="C18" s="3" t="inlineStr">
        <is>
          <t>Pipe (metal/PVC), shovel handles, broom handles</t>
        </is>
      </c>
      <c r="D18" s="3" t="inlineStr">
        <is>
          <t>Pre-shaped, stronger, replaceable</t>
        </is>
      </c>
      <c r="E18" s="11" t="inlineStr">
        <is>
          <t>LOW</t>
        </is>
      </c>
      <c r="F18" s="3" t="inlineStr">
        <is>
          <t>Anywhere with tools</t>
        </is>
      </c>
      <c r="G18" s="3" t="inlineStr">
        <is>
          <t>Easy to find and adapt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45" customWidth="1" min="4" max="4"/>
    <col width="45" customWidth="1" min="5" max="5"/>
    <col width="40" customWidth="1" min="6" max="6"/>
  </cols>
  <sheetData>
    <row r="1">
      <c r="A1" s="1" t="inlineStr">
        <is>
          <t>SCENARIO-SPECIFIC STRATEGIES</t>
        </is>
      </c>
    </row>
    <row r="3">
      <c r="A3" s="2" t="inlineStr">
        <is>
          <t>Scenario</t>
        </is>
      </c>
      <c r="B3" s="2" t="inlineStr">
        <is>
          <t>Salvage Availability</t>
        </is>
      </c>
      <c r="C3" s="2" t="inlineStr">
        <is>
          <t>Recommended Approach</t>
        </is>
      </c>
      <c r="D3" s="2" t="inlineStr">
        <is>
          <t>First Week Priorities</t>
        </is>
      </c>
      <c r="E3" s="2" t="inlineStr">
        <is>
          <t>Tech Path</t>
        </is>
      </c>
      <c r="F3" s="2" t="inlineStr">
        <is>
          <t>Notes</t>
        </is>
      </c>
    </row>
    <row r="4">
      <c r="A4" s="12" t="inlineStr">
        <is>
          <t>Total Collapse (EMP/Nuclear)</t>
        </is>
      </c>
      <c r="B4" s="3" t="inlineStr">
        <is>
          <t>Abundant but no electronics</t>
        </is>
      </c>
      <c r="C4" s="3" t="inlineStr">
        <is>
          <t>Heavy salvage with traditional backup. Most tools work, but no electrical.</t>
        </is>
      </c>
      <c r="D4" s="3" t="inlineStr">
        <is>
          <t>1. Secure water source
2. Salvage non-electric tools
3. Food preservation
4. Shelter weatherproofing</t>
        </is>
      </c>
      <c r="E4" s="3" t="inlineStr">
        <is>
          <t>Skip electrical systems entirely. Focus: water→agriculture→basic metallurgy→mechanical power</t>
        </is>
      </c>
      <c r="F4" s="3" t="inlineStr">
        <is>
          <t>Manual tools, mechanical systems, water power all viable</t>
        </is>
      </c>
    </row>
    <row r="5">
      <c r="A5" s="12" t="inlineStr">
        <is>
          <t>Pandemic Depopulation</t>
        </is>
      </c>
      <c r="B5" s="3" t="inlineStr">
        <is>
          <t>Everything available, pristine</t>
        </is>
      </c>
      <c r="C5" s="3" t="inlineStr">
        <is>
          <t>Use all modern infrastructure possible. Minimal primitive skills needed.</t>
        </is>
      </c>
      <c r="D5" s="3" t="inlineStr">
        <is>
          <t>1. Secure shelter with utilities
2. Fuel/power generation
3. Food stocks
4. Medical supplies</t>
        </is>
      </c>
      <c r="E5" s="3" t="inlineStr">
        <is>
          <t>Maintain modern tech as long as possible. Learn traditional as backup only.</t>
        </is>
      </c>
      <c r="F5" s="3" t="inlineStr">
        <is>
          <t>Could maintain modern life for years with salvage</t>
        </is>
      </c>
    </row>
    <row r="6">
      <c r="A6" s="12" t="inlineStr">
        <is>
          <t>Island/Remote Stranded</t>
        </is>
      </c>
      <c r="B6" s="3" t="inlineStr">
        <is>
          <t>Limited - only what you have or washes up</t>
        </is>
      </c>
      <c r="C6" s="3" t="inlineStr">
        <is>
          <t>Primarily traditional with creative salvage use. Every scrap counts.</t>
        </is>
      </c>
      <c r="D6" s="3" t="inlineStr">
        <is>
          <t>1. Water source
2. Shelter
3. Fire
4. Food (fish/forage)</t>
        </is>
      </c>
      <c r="E6" s="3" t="inlineStr">
        <is>
          <t>Pure survival path. Any salvage is precious - prioritize: rope, metal, containers.</t>
        </is>
      </c>
      <c r="F6" s="3" t="inlineStr">
        <is>
          <t>Traditional skills essential, salvage used very carefully</t>
        </is>
      </c>
    </row>
    <row r="7">
      <c r="A7" s="12" t="inlineStr">
        <is>
          <t>Economic Collapse</t>
        </is>
      </c>
      <c r="B7" s="3" t="inlineStr">
        <is>
          <t>Markets exist but no money</t>
        </is>
      </c>
      <c r="C7" s="3" t="inlineStr">
        <is>
          <t>Hybrid approach - some things available through trade/scavenging.</t>
        </is>
      </c>
      <c r="D7" s="3" t="inlineStr">
        <is>
          <t>1. Secure food production
2. Trade skills
3. Defense
4. Community</t>
        </is>
      </c>
      <c r="E7" s="3" t="inlineStr">
        <is>
          <t>Focus on value-producing skills. Metallurgy, repair, agriculture, medicine.</t>
        </is>
      </c>
      <c r="F7" s="3" t="inlineStr">
        <is>
          <t>Society intact but economy failed</t>
        </is>
      </c>
    </row>
    <row r="8">
      <c r="A8" s="12" t="inlineStr">
        <is>
          <t>Gradual Decline</t>
        </is>
      </c>
      <c r="B8" s="3" t="inlineStr">
        <is>
          <t>Decreasing over time</t>
        </is>
      </c>
      <c r="C8" s="3" t="inlineStr">
        <is>
          <t>Transition approach - maximize salvage now, build traditional capability.</t>
        </is>
      </c>
      <c r="D8" s="3" t="inlineStr">
        <is>
          <t>1. Stockpile critical salvage
2. Learn traditional skills
3. Community building</t>
        </is>
      </c>
      <c r="E8" s="3" t="inlineStr">
        <is>
          <t>Use salvage while available, master traditional methods in parallel.</t>
        </is>
      </c>
      <c r="F8" s="3" t="inlineStr">
        <is>
          <t>Time to prepare properly</t>
        </is>
      </c>
    </row>
    <row r="9">
      <c r="A9" s="12" t="inlineStr">
        <is>
          <t>Wilderness Survival</t>
        </is>
      </c>
      <c r="B9" s="3" t="inlineStr">
        <is>
          <t>None available</t>
        </is>
      </c>
      <c r="C9" s="3" t="inlineStr">
        <is>
          <t>Pure traditional approach.</t>
        </is>
      </c>
      <c r="D9" s="3" t="inlineStr">
        <is>
          <t>1. Fire
2. Water
3. Shelter
4. Food</t>
        </is>
      </c>
      <c r="E9" s="3" t="inlineStr">
        <is>
          <t>Follow tech tree exactly. No shortcuts.</t>
        </is>
      </c>
      <c r="F9" s="3" t="inlineStr">
        <is>
          <t>Baseline scenario the tech tree assumes</t>
        </is>
      </c>
    </row>
    <row r="10">
      <c r="A10" s="12" t="inlineStr">
        <is>
          <t>Post-War Ruins</t>
        </is>
      </c>
      <c r="B10" s="3" t="inlineStr">
        <is>
          <t>Scattered, dangerous to access</t>
        </is>
      </c>
      <c r="C10" s="3" t="inlineStr">
        <is>
          <t>Selective salvage with high traditional focus. Risk vs reward.</t>
        </is>
      </c>
      <c r="D10" s="3" t="inlineStr">
        <is>
          <t>1. Safe water
2. Secure shelter
3. Food production
4. Careful salvage runs</t>
        </is>
      </c>
      <c r="E10" s="3" t="inlineStr">
        <is>
          <t>Traditional foundation with calculated salvage expeditions for high-value items.</t>
        </is>
      </c>
      <c r="F10" s="3" t="inlineStr">
        <is>
          <t>Unexploded ordnance, structural hazards</t>
        </is>
      </c>
    </row>
    <row r="11">
      <c r="A11" s="12" t="inlineStr">
        <is>
          <t>Mars/Space Colony</t>
        </is>
      </c>
      <c r="B11" s="3" t="inlineStr">
        <is>
          <t>High-tech but specialized</t>
        </is>
      </c>
      <c r="C11" s="3" t="inlineStr">
        <is>
          <t>Hybrid tech + improvisation. Cannot make basic materials.</t>
        </is>
      </c>
      <c r="D11" s="3" t="inlineStr">
        <is>
          <t>1. Life support
2. Water recycling
3. Food growth
4. Equipment repair</t>
        </is>
      </c>
      <c r="E11" s="3" t="inlineStr">
        <is>
          <t>Advanced tech for life support, creative adaptation for everything else.</t>
        </is>
      </c>
      <c r="F11" s="3" t="inlineStr">
        <is>
          <t>Cannot use traditional earth materials</t>
        </is>
      </c>
    </row>
    <row r="12">
      <c r="A12" s="12" t="inlineStr">
        <is>
          <t>Zombie Apocalypse</t>
        </is>
      </c>
      <c r="B12" s="3" t="inlineStr">
        <is>
          <t>Abundant but defended by zombies</t>
        </is>
      </c>
      <c r="C12" s="3" t="inlineStr">
        <is>
          <t>Prioritize quiet salvage, fortification. Risk management critical.</t>
        </is>
      </c>
      <c r="D12" s="3" t="inlineStr">
        <is>
          <t>1. Fortified shelter
2. Silent weapons
3. Stockpile food
4. Escape routes</t>
        </is>
      </c>
      <c r="E12" s="3" t="inlineStr">
        <is>
          <t>Salvage when safe, maintain traditional fallback. Noise discipline critical.</t>
        </is>
      </c>
      <c r="F12" s="3" t="inlineStr">
        <is>
          <t>Stealth approach to salvage</t>
        </is>
      </c>
    </row>
    <row r="13">
      <c r="A13" s="12" t="inlineStr">
        <is>
          <t>Climate Catastrophe</t>
        </is>
      </c>
      <c r="B13" s="3" t="inlineStr">
        <is>
          <t>Varied by region, some infrastructure intact</t>
        </is>
      </c>
      <c r="C13" s="3" t="inlineStr">
        <is>
          <t>Regional adaptation key. Use remaining infrastructure.</t>
        </is>
      </c>
      <c r="D13" s="3" t="inlineStr">
        <is>
          <t>1. Assess local resources
2. Climate-appropriate shelter
3. Sustainable food
4. Migration planning</t>
        </is>
      </c>
      <c r="E13" s="3" t="inlineStr">
        <is>
          <t>Adapt tech path to new climate reality. See Climate &amp; Terrain sheet.</t>
        </is>
      </c>
      <c r="F13" s="3" t="inlineStr">
        <is>
          <t>Traditional knowledge of new climate essential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2026-02-14T03:36:25Z</dcterms:created>
  <dcterms:modified xmlns:dcterms="http://purl.org/dc/terms/" xmlns:xsi="http://www.w3.org/2001/XMLSchema-instance" xsi:type="dcterms:W3CDTF">2026-02-14T03:54:37Z</dcterms:modified>
</cp:coreProperties>
</file>