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0-Day Solo Survival" sheetId="1" state="visible" r:id="rId3"/>
    <sheet name="90-Day Small Group (4-8)" sheetId="2" state="visible" r:id="rId4"/>
    <sheet name="90-Day Coastal" sheetId="3" state="visible" r:id="rId5"/>
    <sheet name="90-Day Mountain" sheetId="4" state="visible" r:id="rId6"/>
    <sheet name="Resource Calculator" sheetId="5" state="visible" r:id="rId7"/>
    <sheet name="Supply Invento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<sst xmlns="http://schemas.openxmlformats.org/spreadsheetml/2006/main" count="2049" uniqueCount="1294">
  <si>
    <t xml:space="preserve">Day</t>
  </si>
  <si>
    <t xml:space="preserve">Priority Task</t>
  </si>
  <si>
    <t xml:space="preserve">Skill Module</t>
  </si>
  <si>
    <t xml:space="preserve">Materials Needed</t>
  </si>
  <si>
    <t xml:space="preserve">Calories Needed</t>
  </si>
  <si>
    <t xml:space="preserve">Water (L)</t>
  </si>
  <si>
    <t xml:space="preserve">Hours of Work</t>
  </si>
  <si>
    <t xml:space="preserve">Notes</t>
  </si>
  <si>
    <t xml:space="preserve">Find water source</t>
  </si>
  <si>
    <t xml:space="preserve">Water Finding</t>
  </si>
  <si>
    <t xml:space="preserve">Container, rope</t>
  </si>
  <si>
    <t xml:space="preserve">Critical - dehydration is immediate threat</t>
  </si>
  <si>
    <t xml:space="preserve">Build basic shelter</t>
  </si>
  <si>
    <t xml:space="preserve">Shelter Building</t>
  </si>
  <si>
    <t xml:space="preserve">Branches, leaves, vines</t>
  </si>
  <si>
    <t xml:space="preserve">Protection from elements</t>
  </si>
  <si>
    <t xml:space="preserve">Start fire</t>
  </si>
  <si>
    <t xml:space="preserve">Fire Making</t>
  </si>
  <si>
    <t xml:space="preserve">Flint, steel, kindling</t>
  </si>
  <si>
    <t xml:space="preserve">Learn friction fire backup method</t>
  </si>
  <si>
    <t xml:space="preserve">Gather firewood</t>
  </si>
  <si>
    <t xml:space="preserve">Resource Gathering</t>
  </si>
  <si>
    <t xml:space="preserve">Axe or stones</t>
  </si>
  <si>
    <t xml:space="preserve">Store dry wood for nights</t>
  </si>
  <si>
    <t xml:space="preserve">Improve shelter</t>
  </si>
  <si>
    <t xml:space="preserve">Branches, moss, bark</t>
  </si>
  <si>
    <t xml:space="preserve">Better insulation and waterproofing</t>
  </si>
  <si>
    <t xml:space="preserve">Scout area and map</t>
  </si>
  <si>
    <t xml:space="preserve">Navigation</t>
  </si>
  <si>
    <t xml:space="preserve">Stick for marking</t>
  </si>
  <si>
    <t xml:space="preserve">Learn terrain for foraging</t>
  </si>
  <si>
    <t xml:space="preserve">Water storage system</t>
  </si>
  <si>
    <t xml:space="preserve">Crafting</t>
  </si>
  <si>
    <t xml:space="preserve">Containers, plant materials</t>
  </si>
  <si>
    <t xml:space="preserve">Ensure water supply continuity</t>
  </si>
  <si>
    <t xml:space="preserve">Forage edible plants</t>
  </si>
  <si>
    <t xml:space="preserve">Foraging</t>
  </si>
  <si>
    <t xml:space="preserve">Container, knowledge</t>
  </si>
  <si>
    <t xml:space="preserve">Learn 3-5 local plants</t>
  </si>
  <si>
    <t xml:space="preserve">Fishing setup</t>
  </si>
  <si>
    <t xml:space="preserve">Fishing</t>
  </si>
  <si>
    <t xml:space="preserve">Bamboo/wood, vine, hooks</t>
  </si>
  <si>
    <t xml:space="preserve">Prepare traps and lines</t>
  </si>
  <si>
    <t xml:space="preserve">Hunting prep</t>
  </si>
  <si>
    <t xml:space="preserve">Hunting</t>
  </si>
  <si>
    <t xml:space="preserve">Spear materials, snares</t>
  </si>
  <si>
    <t xml:space="preserve">Build basic hunting tools</t>
  </si>
  <si>
    <t xml:space="preserve">Forage mushrooms</t>
  </si>
  <si>
    <t xml:space="preserve">Containers, spore identification</t>
  </si>
  <si>
    <t xml:space="preserve">Careful identification essential</t>
  </si>
  <si>
    <t xml:space="preserve">Fish traps and nets</t>
  </si>
  <si>
    <t xml:space="preserve">Vines, wood, fiber</t>
  </si>
  <si>
    <t xml:space="preserve">Multiple fish capture methods</t>
  </si>
  <si>
    <t xml:space="preserve">Hunting practice</t>
  </si>
  <si>
    <t xml:space="preserve">Spear, target</t>
  </si>
  <si>
    <t xml:space="preserve">Test hunting weapons</t>
  </si>
  <si>
    <t xml:space="preserve">Food storage prep</t>
  </si>
  <si>
    <t xml:space="preserve">Food Preservation</t>
  </si>
  <si>
    <t xml:space="preserve">Salt, smoke materials</t>
  </si>
  <si>
    <t xml:space="preserve">Plan preservation methods</t>
  </si>
  <si>
    <t xml:space="preserve">Create smoking rack</t>
  </si>
  <si>
    <t xml:space="preserve">Green wood, rope</t>
  </si>
  <si>
    <t xml:space="preserve">Prepare for fish/meat smoking</t>
  </si>
  <si>
    <t xml:space="preserve">Forage roots/tubers</t>
  </si>
  <si>
    <t xml:space="preserve">Digging tool</t>
  </si>
  <si>
    <t xml:space="preserve">High calorie, storable foods</t>
  </si>
  <si>
    <t xml:space="preserve">Fish and hunt</t>
  </si>
  <si>
    <t xml:space="preserve">Fishing/Hunting</t>
  </si>
  <si>
    <t xml:space="preserve">All tools prepared</t>
  </si>
  <si>
    <t xml:space="preserve">Active food procurement</t>
  </si>
  <si>
    <t xml:space="preserve">Preserve fish</t>
  </si>
  <si>
    <t xml:space="preserve">Salt, smoke</t>
  </si>
  <si>
    <t xml:space="preserve">Process catch for storage</t>
  </si>
  <si>
    <t xml:space="preserve">Preserve meat</t>
  </si>
  <si>
    <t xml:space="preserve">Process game for storage</t>
  </si>
  <si>
    <t xml:space="preserve">Forage nuts/seeds</t>
  </si>
  <si>
    <t xml:space="preserve">Collection bags</t>
  </si>
  <si>
    <t xml:space="preserve">Long-term storable foods</t>
  </si>
  <si>
    <t xml:space="preserve">Food inventory</t>
  </si>
  <si>
    <t xml:space="preserve">Planning</t>
  </si>
  <si>
    <t xml:space="preserve">Counting materials</t>
  </si>
  <si>
    <t xml:space="preserve">Assess total stores</t>
  </si>
  <si>
    <t xml:space="preserve">Upgrade water system</t>
  </si>
  <si>
    <t xml:space="preserve">Engineering</t>
  </si>
  <si>
    <t xml:space="preserve">Clay, wood, fiber</t>
  </si>
  <si>
    <t xml:space="preserve">Create better storage</t>
  </si>
  <si>
    <t xml:space="preserve">Improve shelter roof</t>
  </si>
  <si>
    <t xml:space="preserve">Bark, thatch</t>
  </si>
  <si>
    <t xml:space="preserve">Heavy weather preparation</t>
  </si>
  <si>
    <t xml:space="preserve">Create tools</t>
  </si>
  <si>
    <t xml:space="preserve">Tool Making</t>
  </si>
  <si>
    <t xml:space="preserve">Stone, bone, wood</t>
  </si>
  <si>
    <t xml:space="preserve">Better implements for work</t>
  </si>
  <si>
    <t xml:space="preserve">Build fire pit</t>
  </si>
  <si>
    <t xml:space="preserve">Stones, clay</t>
  </si>
  <si>
    <t xml:space="preserve">Permanent cooking setup</t>
  </si>
  <si>
    <t xml:space="preserve">Food preservation facility</t>
  </si>
  <si>
    <t xml:space="preserve">Drying rack, smoker</t>
  </si>
  <si>
    <t xml:space="preserve">Central preservation station</t>
  </si>
  <si>
    <t xml:space="preserve">Hunting/fishing expand</t>
  </si>
  <si>
    <t xml:space="preserve">Hunting/Fishing</t>
  </si>
  <si>
    <t xml:space="preserve">Multiple traps</t>
  </si>
  <si>
    <t xml:space="preserve">Scale up food capture</t>
  </si>
  <si>
    <t xml:space="preserve">Inventory assessment</t>
  </si>
  <si>
    <t xml:space="preserve">Supplies check</t>
  </si>
  <si>
    <t xml:space="preserve">Month review and replan</t>
  </si>
  <si>
    <t xml:space="preserve">Foundation for cabin</t>
  </si>
  <si>
    <t xml:space="preserve">Construction</t>
  </si>
  <si>
    <t xml:space="preserve">Logs, stone</t>
  </si>
  <si>
    <t xml:space="preserve">Begin serious shelter</t>
  </si>
  <si>
    <t xml:space="preserve">Cut and prepare logs</t>
  </si>
  <si>
    <t xml:space="preserve">Lumber</t>
  </si>
  <si>
    <t xml:space="preserve">Axe, saw</t>
  </si>
  <si>
    <t xml:space="preserve">Process building materials</t>
  </si>
  <si>
    <t xml:space="preserve">Wall construction start</t>
  </si>
  <si>
    <t xml:space="preserve">Logs, chinking</t>
  </si>
  <si>
    <t xml:space="preserve">Raise walls</t>
  </si>
  <si>
    <t xml:space="preserve">Continue wall building</t>
  </si>
  <si>
    <t xml:space="preserve">Logs, clay, straw</t>
  </si>
  <si>
    <t xml:space="preserve">Complete wall frame</t>
  </si>
  <si>
    <t xml:space="preserve">Roof framework</t>
  </si>
  <si>
    <t xml:space="preserve">Logs, rafters</t>
  </si>
  <si>
    <t xml:space="preserve">Frame roof structure</t>
  </si>
  <si>
    <t xml:space="preserve">Roof covering</t>
  </si>
  <si>
    <t xml:space="preserve">Thatch, bark, clay</t>
  </si>
  <si>
    <t xml:space="preserve">Weatherproof roof</t>
  </si>
  <si>
    <t xml:space="preserve">Door and window</t>
  </si>
  <si>
    <t xml:space="preserve">Wood, leather hinges</t>
  </si>
  <si>
    <t xml:space="preserve">Entrance and ventilation</t>
  </si>
  <si>
    <t xml:space="preserve">Interior improvements</t>
  </si>
  <si>
    <t xml:space="preserve">Shelving, bedding</t>
  </si>
  <si>
    <t xml:space="preserve">Living space setup</t>
  </si>
  <si>
    <t xml:space="preserve">Food preservation expansion</t>
  </si>
  <si>
    <t xml:space="preserve">Drying, smoking, salt</t>
  </si>
  <si>
    <t xml:space="preserve">Large batch processing</t>
  </si>
  <si>
    <t xml:space="preserve">Hunting/fishing daily</t>
  </si>
  <si>
    <t xml:space="preserve">Active procurement</t>
  </si>
  <si>
    <t xml:space="preserve">Continuous food source</t>
  </si>
  <si>
    <t xml:space="preserve">Forage heavily</t>
  </si>
  <si>
    <t xml:space="preserve">Multiple locations</t>
  </si>
  <si>
    <t xml:space="preserve">Maximize seasonal availability</t>
  </si>
  <si>
    <t xml:space="preserve">Create root cellar</t>
  </si>
  <si>
    <t xml:space="preserve">Digging, cave prep</t>
  </si>
  <si>
    <t xml:space="preserve">Underground storage</t>
  </si>
  <si>
    <t xml:space="preserve">Salt production</t>
  </si>
  <si>
    <t xml:space="preserve">Manufacturing</t>
  </si>
  <si>
    <t xml:space="preserve">Evaporation beds</t>
  </si>
  <si>
    <t xml:space="preserve">Critical for preservation</t>
  </si>
  <si>
    <t xml:space="preserve">Stock assessment</t>
  </si>
  <si>
    <t xml:space="preserve">Check preservation progress</t>
  </si>
  <si>
    <t xml:space="preserve">Tool upgrades</t>
  </si>
  <si>
    <t xml:space="preserve">Better materials</t>
  </si>
  <si>
    <t xml:space="preserve">Improve work efficiency</t>
  </si>
  <si>
    <t xml:space="preserve">Clothing production</t>
  </si>
  <si>
    <t xml:space="preserve">Leather, fiber, bone</t>
  </si>
  <si>
    <t xml:space="preserve">Weather-appropriate garments</t>
  </si>
  <si>
    <t xml:space="preserve">Water infrastructure</t>
  </si>
  <si>
    <t xml:space="preserve">Clay pipes, containers</t>
  </si>
  <si>
    <t xml:space="preserve">Better water system</t>
  </si>
  <si>
    <t xml:space="preserve">Soap making</t>
  </si>
  <si>
    <t xml:space="preserve">Wood ash, animal fat</t>
  </si>
  <si>
    <t xml:space="preserve">Hygiene and sanitation</t>
  </si>
  <si>
    <t xml:space="preserve">Medical prep</t>
  </si>
  <si>
    <t xml:space="preserve">Medicine</t>
  </si>
  <si>
    <t xml:space="preserve">Herbs, supplies</t>
  </si>
  <si>
    <t xml:space="preserve">First aid station setup</t>
  </si>
  <si>
    <t xml:space="preserve">Fishing nets expansion</t>
  </si>
  <si>
    <t xml:space="preserve">Large net construction</t>
  </si>
  <si>
    <t xml:space="preserve">Scale up fishing</t>
  </si>
  <si>
    <t xml:space="preserve">Hunting range expansion</t>
  </si>
  <si>
    <t xml:space="preserve">Traps in new areas</t>
  </si>
  <si>
    <t xml:space="preserve">Find new game</t>
  </si>
  <si>
    <t xml:space="preserve">Month 2 assessment</t>
  </si>
  <si>
    <t xml:space="preserve">Full inventory</t>
  </si>
  <si>
    <t xml:space="preserve">Progress evaluation</t>
  </si>
  <si>
    <t xml:space="preserve">Tool-making workshop</t>
  </si>
  <si>
    <t xml:space="preserve">Multiple projects</t>
  </si>
  <si>
    <t xml:space="preserve">Make spare tools</t>
  </si>
  <si>
    <t xml:space="preserve">Clothing expansion</t>
  </si>
  <si>
    <t xml:space="preserve">Additional garments</t>
  </si>
  <si>
    <t xml:space="preserve">Full wardrobe for seasons</t>
  </si>
  <si>
    <t xml:space="preserve">Food processing</t>
  </si>
  <si>
    <t xml:space="preserve">Batch operations</t>
  </si>
  <si>
    <t xml:space="preserve">Preserve bulk harvest</t>
  </si>
  <si>
    <t xml:space="preserve">Shelter winterization</t>
  </si>
  <si>
    <t xml:space="preserve">Insulation, chinking</t>
  </si>
  <si>
    <t xml:space="preserve">Cold season prep</t>
  </si>
  <si>
    <t xml:space="preserve">Hunting/fishing dailies</t>
  </si>
  <si>
    <t xml:space="preserve">Active work</t>
  </si>
  <si>
    <t xml:space="preserve">Daily food gathering</t>
  </si>
  <si>
    <t xml:space="preserve">Forage late season</t>
  </si>
  <si>
    <t xml:space="preserve">Last seasonal items</t>
  </si>
  <si>
    <t xml:space="preserve">Capture seasonal availability</t>
  </si>
  <si>
    <t xml:space="preserve">Food storage review</t>
  </si>
  <si>
    <t xml:space="preserve">Inventory and restock</t>
  </si>
  <si>
    <t xml:space="preserve">Ensure adequate supplies</t>
  </si>
  <si>
    <t xml:space="preserve">Charcoal production</t>
  </si>
  <si>
    <t xml:space="preserve">Controlled burning</t>
  </si>
  <si>
    <t xml:space="preserve">Fuel and filtration</t>
  </si>
  <si>
    <t xml:space="preserve">Herbal medicine making</t>
  </si>
  <si>
    <t xml:space="preserve">Plant processing</t>
  </si>
  <si>
    <t xml:space="preserve">Create medicine stores</t>
  </si>
  <si>
    <t xml:space="preserve">Month 2 final tally</t>
  </si>
  <si>
    <t xml:space="preserve">Complete assessment</t>
  </si>
  <si>
    <t xml:space="preserve">Full resource count</t>
  </si>
  <si>
    <t xml:space="preserve">Tool production scaling</t>
  </si>
  <si>
    <t xml:space="preserve">Create backup tools</t>
  </si>
  <si>
    <t xml:space="preserve">Pottery beginning</t>
  </si>
  <si>
    <t xml:space="preserve">Clay, wheel</t>
  </si>
  <si>
    <t xml:space="preserve">Learn ceramic production</t>
  </si>
  <si>
    <t xml:space="preserve">Pottery vessels</t>
  </si>
  <si>
    <t xml:space="preserve">Clay, kiln</t>
  </si>
  <si>
    <t xml:space="preserve">Create storage containers</t>
  </si>
  <si>
    <t xml:space="preserve">Leather working</t>
  </si>
  <si>
    <t xml:space="preserve">Hides, tools</t>
  </si>
  <si>
    <t xml:space="preserve">Process leather goods</t>
  </si>
  <si>
    <t xml:space="preserve">Rope and cordage</t>
  </si>
  <si>
    <t xml:space="preserve">Plant fiber</t>
  </si>
  <si>
    <t xml:space="preserve">Make strong rope</t>
  </si>
  <si>
    <t xml:space="preserve">Fishing/hunting dailies</t>
  </si>
  <si>
    <t xml:space="preserve">Sustain food supply</t>
  </si>
  <si>
    <t xml:space="preserve">Forage and preserve</t>
  </si>
  <si>
    <t xml:space="preserve">Last season crops</t>
  </si>
  <si>
    <t xml:space="preserve">Final preservation</t>
  </si>
  <si>
    <t xml:space="preserve">Alcohol production</t>
  </si>
  <si>
    <t xml:space="preserve">Fermentation setup</t>
  </si>
  <si>
    <t xml:space="preserve">Medicine and trade good</t>
  </si>
  <si>
    <t xml:space="preserve">Textile production</t>
  </si>
  <si>
    <t xml:space="preserve">Spinning, weaving</t>
  </si>
  <si>
    <t xml:space="preserve">Make cloth and rope</t>
  </si>
  <si>
    <t xml:space="preserve">Tool maintenance</t>
  </si>
  <si>
    <t xml:space="preserve">Tool Maintenance</t>
  </si>
  <si>
    <t xml:space="preserve">Repair and sharpen</t>
  </si>
  <si>
    <t xml:space="preserve">Keep tools in good shape</t>
  </si>
  <si>
    <t xml:space="preserve">Continue food supply</t>
  </si>
  <si>
    <t xml:space="preserve">Large batches</t>
  </si>
  <si>
    <t xml:space="preserve">Process remaining harvest</t>
  </si>
  <si>
    <t xml:space="preserve">Shelter maintenance</t>
  </si>
  <si>
    <t xml:space="preserve">Repairs and upgrades</t>
  </si>
  <si>
    <t xml:space="preserve">Ensure weatherproofing</t>
  </si>
  <si>
    <t xml:space="preserve">Weapon improvement</t>
  </si>
  <si>
    <t xml:space="preserve">Better hunting tools</t>
  </si>
  <si>
    <t xml:space="preserve">More effective hunting</t>
  </si>
  <si>
    <t xml:space="preserve">Water system testing</t>
  </si>
  <si>
    <t xml:space="preserve">Quality and quantity</t>
  </si>
  <si>
    <t xml:space="preserve">Verify system reliability</t>
  </si>
  <si>
    <t xml:space="preserve">Candle making</t>
  </si>
  <si>
    <t xml:space="preserve">Tallow/wax</t>
  </si>
  <si>
    <t xml:space="preserve">Light source production</t>
  </si>
  <si>
    <t xml:space="preserve">Soap production</t>
  </si>
  <si>
    <t xml:space="preserve">Scale hygiene products</t>
  </si>
  <si>
    <t xml:space="preserve">Medicine expansion</t>
  </si>
  <si>
    <t xml:space="preserve">Herb drying and storage</t>
  </si>
  <si>
    <t xml:space="preserve">Build medicine stockpile</t>
  </si>
  <si>
    <t xml:space="preserve">Maintain food supply</t>
  </si>
  <si>
    <t xml:space="preserve">Forage last opportunities</t>
  </si>
  <si>
    <t xml:space="preserve">Final seasonal items</t>
  </si>
  <si>
    <t xml:space="preserve">Final procurement</t>
  </si>
  <si>
    <t xml:space="preserve">Food inventory crunch</t>
  </si>
  <si>
    <t xml:space="preserve">Final count and store</t>
  </si>
  <si>
    <t xml:space="preserve">Prepare for long storage</t>
  </si>
  <si>
    <t xml:space="preserve">Trade goods prep</t>
  </si>
  <si>
    <t xml:space="preserve">Create excess goods</t>
  </si>
  <si>
    <t xml:space="preserve">Make barter items</t>
  </si>
  <si>
    <t xml:space="preserve">Tool backup production</t>
  </si>
  <si>
    <t xml:space="preserve">Extra tools for trade</t>
  </si>
  <si>
    <t xml:space="preserve">Create surplus tools</t>
  </si>
  <si>
    <t xml:space="preserve">Additional cloth</t>
  </si>
  <si>
    <t xml:space="preserve">More textiles for trade</t>
  </si>
  <si>
    <t xml:space="preserve">Final push</t>
  </si>
  <si>
    <t xml:space="preserve">Last active food gathering</t>
  </si>
  <si>
    <t xml:space="preserve">Forage preservation</t>
  </si>
  <si>
    <t xml:space="preserve">Final batch operations</t>
  </si>
  <si>
    <t xml:space="preserve">Finish food preparation</t>
  </si>
  <si>
    <t xml:space="preserve">Shelter final prep</t>
  </si>
  <si>
    <t xml:space="preserve">Winter weatherproofing</t>
  </si>
  <si>
    <t xml:space="preserve">Cold season readiness</t>
  </si>
  <si>
    <t xml:space="preserve">Tool and equipment check</t>
  </si>
  <si>
    <t xml:space="preserve">Full inventory check</t>
  </si>
  <si>
    <t xml:space="preserve">Everything in good order</t>
  </si>
  <si>
    <t xml:space="preserve">Final inventory</t>
  </si>
  <si>
    <t xml:space="preserve">Complete final count</t>
  </si>
  <si>
    <t xml:space="preserve">All resources accounted</t>
  </si>
  <si>
    <t xml:space="preserve">Celebrate survival</t>
  </si>
  <si>
    <t xml:space="preserve">Reflect and plan next</t>
  </si>
  <si>
    <t xml:space="preserve">Day 90 - sustainable living established</t>
  </si>
  <si>
    <t xml:space="preserve">Assigned Roles</t>
  </si>
  <si>
    <t xml:space="preserve">Calories/Day/Person</t>
  </si>
  <si>
    <t xml:space="preserve">Water (L)/Person</t>
  </si>
  <si>
    <t xml:space="preserve">Hours/Team</t>
  </si>
  <si>
    <t xml:space="preserve">Find water &amp; camp</t>
  </si>
  <si>
    <t xml:space="preserve">Base Building</t>
  </si>
  <si>
    <t xml:space="preserve">Containers, tools</t>
  </si>
  <si>
    <t xml:space="preserve">2 water scouts, 2 shelter builders</t>
  </si>
  <si>
    <t xml:space="preserve">Parallel tasks</t>
  </si>
  <si>
    <t xml:space="preserve">Build shelter</t>
  </si>
  <si>
    <t xml:space="preserve">Logs, branches</t>
  </si>
  <si>
    <t xml:space="preserve">4 builders, 2 support</t>
  </si>
  <si>
    <t xml:space="preserve">Fast construction with team</t>
  </si>
  <si>
    <t xml:space="preserve">Fire and tools</t>
  </si>
  <si>
    <t xml:space="preserve">Tools/Fire</t>
  </si>
  <si>
    <t xml:space="preserve">Materials for both</t>
  </si>
  <si>
    <t xml:space="preserve">2 toolmakers, 2 fire keepers</t>
  </si>
  <si>
    <t xml:space="preserve">Parallel work streams</t>
  </si>
  <si>
    <t xml:space="preserve">Firewood and water</t>
  </si>
  <si>
    <t xml:space="preserve">Containers, axes</t>
  </si>
  <si>
    <t xml:space="preserve">All team rotating</t>
  </si>
  <si>
    <t xml:space="preserve">High productivity</t>
  </si>
  <si>
    <t xml:space="preserve">Shelter improvements</t>
  </si>
  <si>
    <t xml:space="preserve">Branches, moss</t>
  </si>
  <si>
    <t xml:space="preserve">Quality work</t>
  </si>
  <si>
    <t xml:space="preserve">Scouting and mapping</t>
  </si>
  <si>
    <t xml:space="preserve">Marking tools</t>
  </si>
  <si>
    <t xml:space="preserve">2 scouts, 2 base work</t>
  </si>
  <si>
    <t xml:space="preserve">Information gathering</t>
  </si>
  <si>
    <t xml:space="preserve">Water systems</t>
  </si>
  <si>
    <t xml:space="preserve">Clay, containers</t>
  </si>
  <si>
    <t xml:space="preserve">3 engineers, 2 support</t>
  </si>
  <si>
    <t xml:space="preserve">Complex project</t>
  </si>
  <si>
    <t xml:space="preserve">Forage and fish</t>
  </si>
  <si>
    <t xml:space="preserve">Food</t>
  </si>
  <si>
    <t xml:space="preserve">Containers, nets</t>
  </si>
  <si>
    <t xml:space="preserve">3 foragers, 2 fishers</t>
  </si>
  <si>
    <t xml:space="preserve">Food sources active</t>
  </si>
  <si>
    <t xml:space="preserve">Bamboo, vines</t>
  </si>
  <si>
    <t xml:space="preserve">2 net makers, 2 trap builders</t>
  </si>
  <si>
    <t xml:space="preserve">Multiple fishing methods</t>
  </si>
  <si>
    <t xml:space="preserve">Spear materials</t>
  </si>
  <si>
    <t xml:space="preserve">2 hunters, 2 builders</t>
  </si>
  <si>
    <t xml:space="preserve">Weapon preparation</t>
  </si>
  <si>
    <t xml:space="preserve">Mushroom forage</t>
  </si>
  <si>
    <t xml:space="preserve">Containers</t>
  </si>
  <si>
    <t xml:space="preserve">2 foragers, base team</t>
  </si>
  <si>
    <t xml:space="preserve">Knowledge sharing</t>
  </si>
  <si>
    <t xml:space="preserve">Fish traps</t>
  </si>
  <si>
    <t xml:space="preserve">Vines, wood</t>
  </si>
  <si>
    <t xml:space="preserve">2 specialists, 2 help</t>
  </si>
  <si>
    <t xml:space="preserve">Scaling fishing</t>
  </si>
  <si>
    <t xml:space="preserve">Hunting active</t>
  </si>
  <si>
    <t xml:space="preserve">Spears, snares</t>
  </si>
  <si>
    <t xml:space="preserve">2 hunters, 2 preservers</t>
  </si>
  <si>
    <t xml:space="preserve">Active hunting</t>
  </si>
  <si>
    <t xml:space="preserve">Food storage</t>
  </si>
  <si>
    <t xml:space="preserve">Food Prep</t>
  </si>
  <si>
    <t xml:space="preserve">Salt, smoke areas</t>
  </si>
  <si>
    <t xml:space="preserve">All team building</t>
  </si>
  <si>
    <t xml:space="preserve">Preservation infrastructure</t>
  </si>
  <si>
    <t xml:space="preserve">Smoking racks</t>
  </si>
  <si>
    <t xml:space="preserve">Green wood</t>
  </si>
  <si>
    <t xml:space="preserve">3 builders, 2 support</t>
  </si>
  <si>
    <t xml:space="preserve">Large-scale setup</t>
  </si>
  <si>
    <t xml:space="preserve">Root forage</t>
  </si>
  <si>
    <t xml:space="preserve">Digging tools</t>
  </si>
  <si>
    <t xml:space="preserve">3 foragers, base team</t>
  </si>
  <si>
    <t xml:space="preserve">High-calorie foods</t>
  </si>
  <si>
    <t xml:space="preserve">Active Work</t>
  </si>
  <si>
    <t xml:space="preserve">All prepared tools</t>
  </si>
  <si>
    <t xml:space="preserve">2 hunters, 3 fishers</t>
  </si>
  <si>
    <t xml:space="preserve">Maximum food procurement</t>
  </si>
  <si>
    <t xml:space="preserve">3 preservers, base</t>
  </si>
  <si>
    <t xml:space="preserve">Process active catch</t>
  </si>
  <si>
    <t xml:space="preserve">Process game</t>
  </si>
  <si>
    <t xml:space="preserve">Nut/seed forage</t>
  </si>
  <si>
    <t xml:space="preserve">Bags, containers</t>
  </si>
  <si>
    <t xml:space="preserve">3 foragers, base</t>
  </si>
  <si>
    <t xml:space="preserve">Long-term food</t>
  </si>
  <si>
    <t xml:space="preserve">Counting</t>
  </si>
  <si>
    <t xml:space="preserve">2 planners, base team</t>
  </si>
  <si>
    <t xml:space="preserve">Assessment day</t>
  </si>
  <si>
    <t xml:space="preserve">Water upgrade</t>
  </si>
  <si>
    <t xml:space="preserve">Clay, wood</t>
  </si>
  <si>
    <t xml:space="preserve">Improve system</t>
  </si>
  <si>
    <t xml:space="preserve">Shelter roof</t>
  </si>
  <si>
    <t xml:space="preserve">Weather prep</t>
  </si>
  <si>
    <t xml:space="preserve">Tool production</t>
  </si>
  <si>
    <t xml:space="preserve">2 toolmakers, base</t>
  </si>
  <si>
    <t xml:space="preserve">Create excess</t>
  </si>
  <si>
    <t xml:space="preserve">Fire pit build</t>
  </si>
  <si>
    <t xml:space="preserve">Central facility</t>
  </si>
  <si>
    <t xml:space="preserve">Food facility</t>
  </si>
  <si>
    <t xml:space="preserve">Drying, smoking</t>
  </si>
  <si>
    <t xml:space="preserve">4 engineers, base</t>
  </si>
  <si>
    <t xml:space="preserve">Preservation center</t>
  </si>
  <si>
    <t xml:space="preserve">Expand hunting</t>
  </si>
  <si>
    <t xml:space="preserve">3 hunters, base</t>
  </si>
  <si>
    <t xml:space="preserve">Scaled trapping</t>
  </si>
  <si>
    <t xml:space="preserve">Find water &amp; camp (Day 29)</t>
  </si>
  <si>
    <t xml:space="preserve">Parallel tasks (Cycle 2)</t>
  </si>
  <si>
    <t xml:space="preserve">Build shelter (Day 30)</t>
  </si>
  <si>
    <t xml:space="preserve">Fast construction with team (Cycle 2)</t>
  </si>
  <si>
    <t xml:space="preserve">Fire and tools (Day 31)</t>
  </si>
  <si>
    <t xml:space="preserve">Parallel work streams (Cycle 2)</t>
  </si>
  <si>
    <t xml:space="preserve">Firewood and water (Day 32)</t>
  </si>
  <si>
    <t xml:space="preserve">High productivity (Cycle 2)</t>
  </si>
  <si>
    <t xml:space="preserve">Shelter improvements (Day 33)</t>
  </si>
  <si>
    <t xml:space="preserve">Quality work (Cycle 2)</t>
  </si>
  <si>
    <t xml:space="preserve">Scouting and mapping (Day 34)</t>
  </si>
  <si>
    <t xml:space="preserve">Information gathering (Cycle 2)</t>
  </si>
  <si>
    <t xml:space="preserve">Water systems (Day 35)</t>
  </si>
  <si>
    <t xml:space="preserve">Complex project (Cycle 2)</t>
  </si>
  <si>
    <t xml:space="preserve">Forage and fish (Day 36)</t>
  </si>
  <si>
    <t xml:space="preserve">Food sources active (Cycle 2)</t>
  </si>
  <si>
    <t xml:space="preserve">Fishing setup (Day 37)</t>
  </si>
  <si>
    <t xml:space="preserve">Multiple fishing methods (Cycle 2)</t>
  </si>
  <si>
    <t xml:space="preserve">Hunting prep (Day 38)</t>
  </si>
  <si>
    <t xml:space="preserve">Weapon preparation (Cycle 2)</t>
  </si>
  <si>
    <t xml:space="preserve">Mushroom forage (Day 39)</t>
  </si>
  <si>
    <t xml:space="preserve">Knowledge sharing (Cycle 2)</t>
  </si>
  <si>
    <t xml:space="preserve">Fish traps (Day 40)</t>
  </si>
  <si>
    <t xml:space="preserve">Scaling fishing (Cycle 2)</t>
  </si>
  <si>
    <t xml:space="preserve">Hunting active (Day 41)</t>
  </si>
  <si>
    <t xml:space="preserve">Active hunting (Cycle 2)</t>
  </si>
  <si>
    <t xml:space="preserve">Food storage (Day 42)</t>
  </si>
  <si>
    <t xml:space="preserve">Preservation infrastructure (Cycle 2)</t>
  </si>
  <si>
    <t xml:space="preserve">Smoking racks (Day 43)</t>
  </si>
  <si>
    <t xml:space="preserve">Large-scale setup (Cycle 2)</t>
  </si>
  <si>
    <t xml:space="preserve">Root forage (Day 44)</t>
  </si>
  <si>
    <t xml:space="preserve">High-calorie foods (Cycle 2)</t>
  </si>
  <si>
    <t xml:space="preserve">Fish and hunt (Day 45)</t>
  </si>
  <si>
    <t xml:space="preserve">Maximum food procurement (Cycle 2)</t>
  </si>
  <si>
    <t xml:space="preserve">Preserve fish (Day 46)</t>
  </si>
  <si>
    <t xml:space="preserve">Process active catch (Cycle 2)</t>
  </si>
  <si>
    <t xml:space="preserve">Preserve meat (Day 47)</t>
  </si>
  <si>
    <t xml:space="preserve">Process game (Cycle 2)</t>
  </si>
  <si>
    <t xml:space="preserve">Nut/seed forage (Day 48)</t>
  </si>
  <si>
    <t xml:space="preserve">Long-term food (Cycle 2)</t>
  </si>
  <si>
    <t xml:space="preserve">Food inventory (Day 49)</t>
  </si>
  <si>
    <t xml:space="preserve">Assessment day (Cycle 2)</t>
  </si>
  <si>
    <t xml:space="preserve">Water upgrade (Day 50)</t>
  </si>
  <si>
    <t xml:space="preserve">Improve system (Cycle 2)</t>
  </si>
  <si>
    <t xml:space="preserve">Shelter roof (Day 51)</t>
  </si>
  <si>
    <t xml:space="preserve">Weather prep (Cycle 2)</t>
  </si>
  <si>
    <t xml:space="preserve">Tool production (Day 52)</t>
  </si>
  <si>
    <t xml:space="preserve">Create excess (Cycle 2)</t>
  </si>
  <si>
    <t xml:space="preserve">Fire pit build (Day 53)</t>
  </si>
  <si>
    <t xml:space="preserve">Central facility (Cycle 2)</t>
  </si>
  <si>
    <t xml:space="preserve">Food facility (Day 54)</t>
  </si>
  <si>
    <t xml:space="preserve">Preservation center (Cycle 2)</t>
  </si>
  <si>
    <t xml:space="preserve">Expand hunting (Day 55)</t>
  </si>
  <si>
    <t xml:space="preserve">Scaled trapping (Cycle 2)</t>
  </si>
  <si>
    <t xml:space="preserve">Assessment (Day 56)</t>
  </si>
  <si>
    <t xml:space="preserve">2 planners, base</t>
  </si>
  <si>
    <t xml:space="preserve">Month review (Cycle 2)</t>
  </si>
  <si>
    <t xml:space="preserve">Find water &amp; camp (Day 57)</t>
  </si>
  <si>
    <t xml:space="preserve">Parallel tasks (Cycle 3)</t>
  </si>
  <si>
    <t xml:space="preserve">Build shelter (Day 58)</t>
  </si>
  <si>
    <t xml:space="preserve">Fast construction with team (Cycle 3)</t>
  </si>
  <si>
    <t xml:space="preserve">Fire and tools (Day 59)</t>
  </si>
  <si>
    <t xml:space="preserve">Parallel work streams (Cycle 3)</t>
  </si>
  <si>
    <t xml:space="preserve">Firewood and water (Day 60)</t>
  </si>
  <si>
    <t xml:space="preserve">High productivity (Cycle 3)</t>
  </si>
  <si>
    <t xml:space="preserve">Shelter improvements (Day 61)</t>
  </si>
  <si>
    <t xml:space="preserve">Quality work (Cycle 3)</t>
  </si>
  <si>
    <t xml:space="preserve">Scouting and mapping (Day 62)</t>
  </si>
  <si>
    <t xml:space="preserve">Information gathering (Cycle 3)</t>
  </si>
  <si>
    <t xml:space="preserve">Water systems (Day 63)</t>
  </si>
  <si>
    <t xml:space="preserve">Complex project (Cycle 3)</t>
  </si>
  <si>
    <t xml:space="preserve">Forage and fish (Day 64)</t>
  </si>
  <si>
    <t xml:space="preserve">Food sources active (Cycle 3)</t>
  </si>
  <si>
    <t xml:space="preserve">Fishing setup (Day 65)</t>
  </si>
  <si>
    <t xml:space="preserve">Multiple fishing methods (Cycle 3)</t>
  </si>
  <si>
    <t xml:space="preserve">Hunting prep (Day 66)</t>
  </si>
  <si>
    <t xml:space="preserve">Weapon preparation (Cycle 3)</t>
  </si>
  <si>
    <t xml:space="preserve">Mushroom forage (Day 67)</t>
  </si>
  <si>
    <t xml:space="preserve">Knowledge sharing (Cycle 3)</t>
  </si>
  <si>
    <t xml:space="preserve">Fish traps (Day 68)</t>
  </si>
  <si>
    <t xml:space="preserve">Scaling fishing (Cycle 3)</t>
  </si>
  <si>
    <t xml:space="preserve">Hunting active (Day 69)</t>
  </si>
  <si>
    <t xml:space="preserve">Active hunting (Cycle 3)</t>
  </si>
  <si>
    <t xml:space="preserve">Food storage (Day 70)</t>
  </si>
  <si>
    <t xml:space="preserve">Preservation infrastructure (Cycle 3)</t>
  </si>
  <si>
    <t xml:space="preserve">Smoking racks (Day 71)</t>
  </si>
  <si>
    <t xml:space="preserve">Large-scale setup (Cycle 3)</t>
  </si>
  <si>
    <t xml:space="preserve">Root forage (Day 72)</t>
  </si>
  <si>
    <t xml:space="preserve">High-calorie foods (Cycle 3)</t>
  </si>
  <si>
    <t xml:space="preserve">Fish and hunt (Day 73)</t>
  </si>
  <si>
    <t xml:space="preserve">Maximum food procurement (Cycle 3)</t>
  </si>
  <si>
    <t xml:space="preserve">Preserve fish (Day 74)</t>
  </si>
  <si>
    <t xml:space="preserve">Process active catch (Cycle 3)</t>
  </si>
  <si>
    <t xml:space="preserve">Preserve meat (Day 75)</t>
  </si>
  <si>
    <t xml:space="preserve">Process game (Cycle 3)</t>
  </si>
  <si>
    <t xml:space="preserve">Nut/seed forage (Day 76)</t>
  </si>
  <si>
    <t xml:space="preserve">Long-term food (Cycle 3)</t>
  </si>
  <si>
    <t xml:space="preserve">Food inventory (Day 77)</t>
  </si>
  <si>
    <t xml:space="preserve">Assessment day (Cycle 3)</t>
  </si>
  <si>
    <t xml:space="preserve">Water upgrade (Day 78)</t>
  </si>
  <si>
    <t xml:space="preserve">Improve system (Cycle 3)</t>
  </si>
  <si>
    <t xml:space="preserve">Shelter roof (Day 79)</t>
  </si>
  <si>
    <t xml:space="preserve">Weather prep (Cycle 3)</t>
  </si>
  <si>
    <t xml:space="preserve">Tool production (Day 80)</t>
  </si>
  <si>
    <t xml:space="preserve">Create excess (Cycle 3)</t>
  </si>
  <si>
    <t xml:space="preserve">Fire pit build (Day 81)</t>
  </si>
  <si>
    <t xml:space="preserve">Central facility (Cycle 3)</t>
  </si>
  <si>
    <t xml:space="preserve">Food facility (Day 82)</t>
  </si>
  <si>
    <t xml:space="preserve">Preservation center (Cycle 3)</t>
  </si>
  <si>
    <t xml:space="preserve">Expand hunting (Day 83)</t>
  </si>
  <si>
    <t xml:space="preserve">Scaled trapping (Cycle 3)</t>
  </si>
  <si>
    <t xml:space="preserve">Assessment (Day 84)</t>
  </si>
  <si>
    <t xml:space="preserve">Month review (Cycle 3)</t>
  </si>
  <si>
    <t xml:space="preserve">Find water &amp; camp (Day 85)</t>
  </si>
  <si>
    <t xml:space="preserve">Parallel tasks (Cycle 4)</t>
  </si>
  <si>
    <t xml:space="preserve">Build shelter (Day 86)</t>
  </si>
  <si>
    <t xml:space="preserve">Fast construction with team (Cycle 4)</t>
  </si>
  <si>
    <t xml:space="preserve">Fire and tools (Day 87)</t>
  </si>
  <si>
    <t xml:space="preserve">Parallel work streams (Cycle 4)</t>
  </si>
  <si>
    <t xml:space="preserve">Firewood and water (Day 88)</t>
  </si>
  <si>
    <t xml:space="preserve">High productivity (Cycle 4)</t>
  </si>
  <si>
    <t xml:space="preserve">Shelter improvements (Day 89)</t>
  </si>
  <si>
    <t xml:space="preserve">Quality work (Cycle 4)</t>
  </si>
  <si>
    <t xml:space="preserve">Scouting and mapping (Day 90)</t>
  </si>
  <si>
    <t xml:space="preserve">Information gathering (Cycle 4)</t>
  </si>
  <si>
    <t xml:space="preserve">Tidal/Weather</t>
  </si>
  <si>
    <t xml:space="preserve">Find freshwater source</t>
  </si>
  <si>
    <t xml:space="preserve">Low tide optimal</t>
  </si>
  <si>
    <t xml:space="preserve">Rainwater collection priority</t>
  </si>
  <si>
    <t xml:space="preserve">Build coastal shelter</t>
  </si>
  <si>
    <t xml:space="preserve">Driftwood, seaweed</t>
  </si>
  <si>
    <t xml:space="preserve">Protected from wind</t>
  </si>
  <si>
    <t xml:space="preserve">Above high tide line</t>
  </si>
  <si>
    <t xml:space="preserve">Fire making</t>
  </si>
  <si>
    <t xml:space="preserve">Flint, tinder</t>
  </si>
  <si>
    <t xml:space="preserve">Check tide schedule</t>
  </si>
  <si>
    <t xml:space="preserve">Protect from moisture</t>
  </si>
  <si>
    <t xml:space="preserve">Gather firewood/driftwood</t>
  </si>
  <si>
    <t xml:space="preserve">Collection tools</t>
  </si>
  <si>
    <t xml:space="preserve">Low tide</t>
  </si>
  <si>
    <t xml:space="preserve">Abundant along shore</t>
  </si>
  <si>
    <t xml:space="preserve">More driftwood</t>
  </si>
  <si>
    <t xml:space="preserve">Storm prep</t>
  </si>
  <si>
    <t xml:space="preserve">Reinforce for wind</t>
  </si>
  <si>
    <t xml:space="preserve">Map tidal patterns</t>
  </si>
  <si>
    <t xml:space="preserve">Stick, measurements</t>
  </si>
  <si>
    <t xml:space="preserve">Full tidal cycle</t>
  </si>
  <si>
    <t xml:space="preserve">Critical for safety</t>
  </si>
  <si>
    <t xml:space="preserve">Water storage salt removal</t>
  </si>
  <si>
    <t xml:space="preserve">Prepare containers</t>
  </si>
  <si>
    <t xml:space="preserve">Desalination basics</t>
  </si>
  <si>
    <t xml:space="preserve">Seaweed forage</t>
  </si>
  <si>
    <t xml:space="preserve">Containers, knowledge</t>
  </si>
  <si>
    <t xml:space="preserve">Low tide harvest</t>
  </si>
  <si>
    <t xml:space="preserve">Multiple edible species</t>
  </si>
  <si>
    <t xml:space="preserve">Fish trap setup</t>
  </si>
  <si>
    <t xml:space="preserve">Bamboo, rocks</t>
  </si>
  <si>
    <t xml:space="preserve">Tidal inlet</t>
  </si>
  <si>
    <t xml:space="preserve">Trap in current zones</t>
  </si>
  <si>
    <t xml:space="preserve">Net making</t>
  </si>
  <si>
    <t xml:space="preserve">Plant fiber, bones</t>
  </si>
  <si>
    <t xml:space="preserve">Testing nets</t>
  </si>
  <si>
    <t xml:space="preserve">Multiple net types</t>
  </si>
  <si>
    <t xml:space="preserve">Shellfish harvesting</t>
  </si>
  <si>
    <t xml:space="preserve">Clams, oysters, mussels</t>
  </si>
  <si>
    <t xml:space="preserve">Fish traps expansion</t>
  </si>
  <si>
    <t xml:space="preserve">More traps</t>
  </si>
  <si>
    <t xml:space="preserve">Multiple tidal zones</t>
  </si>
  <si>
    <t xml:space="preserve">Spearfishing</t>
  </si>
  <si>
    <t xml:space="preserve">Spear, practice</t>
  </si>
  <si>
    <t xml:space="preserve">Clear water days</t>
  </si>
  <si>
    <t xml:space="preserve">Supplement with spear</t>
  </si>
  <si>
    <t xml:space="preserve">Food storage coastal</t>
  </si>
  <si>
    <t xml:space="preserve">Salt, drying</t>
  </si>
  <si>
    <t xml:space="preserve">Sea air benefit</t>
  </si>
  <si>
    <t xml:space="preserve">Natural salt source</t>
  </si>
  <si>
    <t xml:space="preserve">Salt harvesting</t>
  </si>
  <si>
    <t xml:space="preserve">Sunny, low humidity</t>
  </si>
  <si>
    <t xml:space="preserve">Abundant coastal resource</t>
  </si>
  <si>
    <t xml:space="preserve">Kelp/seaweed processing</t>
  </si>
  <si>
    <t xml:space="preserve">Drying racks</t>
  </si>
  <si>
    <t xml:space="preserve">Post-harvest</t>
  </si>
  <si>
    <t xml:space="preserve">Versatile food source</t>
  </si>
  <si>
    <t xml:space="preserve">Fishing active</t>
  </si>
  <si>
    <t xml:space="preserve">All methods ready</t>
  </si>
  <si>
    <t xml:space="preserve">Optimal tide times</t>
  </si>
  <si>
    <t xml:space="preserve">Maximum catch</t>
  </si>
  <si>
    <t xml:space="preserve">Fish preservation</t>
  </si>
  <si>
    <t xml:space="preserve">Continuous</t>
  </si>
  <si>
    <t xml:space="preserve">Process catch daily</t>
  </si>
  <si>
    <t xml:space="preserve">Shellfish processing</t>
  </si>
  <si>
    <t xml:space="preserve">Preservation</t>
  </si>
  <si>
    <t xml:space="preserve">Dry and preserve</t>
  </si>
  <si>
    <t xml:space="preserve">Coastal foraging</t>
  </si>
  <si>
    <t xml:space="preserve">Diverse food items</t>
  </si>
  <si>
    <t xml:space="preserve">Storage check</t>
  </si>
  <si>
    <t xml:space="preserve">Assessment</t>
  </si>
  <si>
    <t xml:space="preserve">Water system</t>
  </si>
  <si>
    <t xml:space="preserve">Rainwater collection</t>
  </si>
  <si>
    <t xml:space="preserve">Rainy season prep</t>
  </si>
  <si>
    <t xml:space="preserve">Cistern building</t>
  </si>
  <si>
    <t xml:space="preserve">Shelter winter prep</t>
  </si>
  <si>
    <t xml:space="preserve">Storm season prep</t>
  </si>
  <si>
    <t xml:space="preserve">Heavy weather ready</t>
  </si>
  <si>
    <t xml:space="preserve">Bone, shell, stone</t>
  </si>
  <si>
    <t xml:space="preserve">Coastal materials</t>
  </si>
  <si>
    <t xml:space="preserve">Make bone tools</t>
  </si>
  <si>
    <t xml:space="preserve">Fire pit</t>
  </si>
  <si>
    <t xml:space="preserve">Rocks, clay</t>
  </si>
  <si>
    <t xml:space="preserve">Protected location</t>
  </si>
  <si>
    <t xml:space="preserve">Permanent fire spot</t>
  </si>
  <si>
    <t xml:space="preserve">Fishing expansion</t>
  </si>
  <si>
    <t xml:space="preserve">More traps, nets</t>
  </si>
  <si>
    <t xml:space="preserve">Multiple zones</t>
  </si>
  <si>
    <t xml:space="preserve">Scale fishing</t>
  </si>
  <si>
    <t xml:space="preserve">Hunting ocean birds</t>
  </si>
  <si>
    <t xml:space="preserve">Traps, snares</t>
  </si>
  <si>
    <t xml:space="preserve">Nesting season</t>
  </si>
  <si>
    <t xml:space="preserve">Additional protein</t>
  </si>
  <si>
    <t xml:space="preserve">Month review</t>
  </si>
  <si>
    <t xml:space="preserve">Boat building start</t>
  </si>
  <si>
    <t xml:space="preserve">Driftwood, rope</t>
  </si>
  <si>
    <t xml:space="preserve">Light frame</t>
  </si>
  <si>
    <t xml:space="preserve">Begin simple boat</t>
  </si>
  <si>
    <t xml:space="preserve">Boat frame completion</t>
  </si>
  <si>
    <t xml:space="preserve">Logs, joints</t>
  </si>
  <si>
    <t xml:space="preserve">Structure</t>
  </si>
  <si>
    <t xml:space="preserve">Secure frame</t>
  </si>
  <si>
    <t xml:space="preserve">Boat covering</t>
  </si>
  <si>
    <t xml:space="preserve">Seaweed, cloth, pitch</t>
  </si>
  <si>
    <t xml:space="preserve">Waterproofing</t>
  </si>
  <si>
    <t xml:space="preserve">Water-resistant hull</t>
  </si>
  <si>
    <t xml:space="preserve">Boat interior</t>
  </si>
  <si>
    <t xml:space="preserve">Seating and cargo</t>
  </si>
  <si>
    <t xml:space="preserve">Make usable</t>
  </si>
  <si>
    <t xml:space="preserve">Paddle making</t>
  </si>
  <si>
    <t xml:space="preserve">Wood, bone</t>
  </si>
  <si>
    <t xml:space="preserve">For rowing</t>
  </si>
  <si>
    <t xml:space="preserve">Create paddles</t>
  </si>
  <si>
    <t xml:space="preserve">Testing boat</t>
  </si>
  <si>
    <t xml:space="preserve">Short trips</t>
  </si>
  <si>
    <t xml:space="preserve">Safe conditions</t>
  </si>
  <si>
    <t xml:space="preserve">Verify float</t>
  </si>
  <si>
    <t xml:space="preserve">Fishing boats</t>
  </si>
  <si>
    <t xml:space="preserve">Expanded range</t>
  </si>
  <si>
    <t xml:space="preserve">Further offshore</t>
  </si>
  <si>
    <t xml:space="preserve">Deeper water fishing</t>
  </si>
  <si>
    <t xml:space="preserve">Sail development</t>
  </si>
  <si>
    <t xml:space="preserve">Cloth, rope</t>
  </si>
  <si>
    <t xml:space="preserve">Experimental</t>
  </si>
  <si>
    <t xml:space="preserve">Wind-powered boats</t>
  </si>
  <si>
    <t xml:space="preserve">Fishing maximum</t>
  </si>
  <si>
    <t xml:space="preserve">Multiple boats</t>
  </si>
  <si>
    <t xml:space="preserve">Peak production</t>
  </si>
  <si>
    <t xml:space="preserve">High catch volume</t>
  </si>
  <si>
    <t xml:space="preserve">Fish processing batch</t>
  </si>
  <si>
    <t xml:space="preserve">Large quantities</t>
  </si>
  <si>
    <t xml:space="preserve">Continuous smoking</t>
  </si>
  <si>
    <t xml:space="preserve">Preserve abundance</t>
  </si>
  <si>
    <t xml:space="preserve">Seaweed harvesting</t>
  </si>
  <si>
    <t xml:space="preserve">Large collection</t>
  </si>
  <si>
    <t xml:space="preserve">Mass harvesting</t>
  </si>
  <si>
    <t xml:space="preserve">Seasonal peak</t>
  </si>
  <si>
    <t xml:space="preserve">Seaweed processing</t>
  </si>
  <si>
    <t xml:space="preserve">Drying operation</t>
  </si>
  <si>
    <t xml:space="preserve">Process harvest</t>
  </si>
  <si>
    <t xml:space="preserve">Salt production peak</t>
  </si>
  <si>
    <t xml:space="preserve">Maximum evaporation</t>
  </si>
  <si>
    <t xml:space="preserve">Sunny period</t>
  </si>
  <si>
    <t xml:space="preserve">Capture salt season</t>
  </si>
  <si>
    <t xml:space="preserve">Full count</t>
  </si>
  <si>
    <t xml:space="preserve">Storage status</t>
  </si>
  <si>
    <t xml:space="preserve">Fishing net upgrade</t>
  </si>
  <si>
    <t xml:space="preserve">Improved design</t>
  </si>
  <si>
    <t xml:space="preserve">Upgrade equipment</t>
  </si>
  <si>
    <t xml:space="preserve">Seaweed based</t>
  </si>
  <si>
    <t xml:space="preserve">Abundant materials</t>
  </si>
  <si>
    <t xml:space="preserve">Water system upgrade</t>
  </si>
  <si>
    <t xml:space="preserve">Collection, storage</t>
  </si>
  <si>
    <t xml:space="preserve">Improved system</t>
  </si>
  <si>
    <t xml:space="preserve">Better infrastructure</t>
  </si>
  <si>
    <t xml:space="preserve">Soap from salt/oil</t>
  </si>
  <si>
    <t xml:space="preserve">Sea salt, fat</t>
  </si>
  <si>
    <t xml:space="preserve">Hygiene products</t>
  </si>
  <si>
    <t xml:space="preserve">Use coastal salt</t>
  </si>
  <si>
    <t xml:space="preserve">Medical herb forage</t>
  </si>
  <si>
    <t xml:space="preserve">Coastal plants</t>
  </si>
  <si>
    <t xml:space="preserve">Medicinal species</t>
  </si>
  <si>
    <t xml:space="preserve">Fishing dominance</t>
  </si>
  <si>
    <t xml:space="preserve">Maximum effort</t>
  </si>
  <si>
    <t xml:space="preserve">All methods active</t>
  </si>
  <si>
    <t xml:space="preserve">Peak fishing</t>
  </si>
  <si>
    <t xml:space="preserve">Bird hunting</t>
  </si>
  <si>
    <t xml:space="preserve">Cliffs and nests</t>
  </si>
  <si>
    <t xml:space="preserve">Seasonal harvest</t>
  </si>
  <si>
    <t xml:space="preserve">Egg and meat gathering</t>
  </si>
  <si>
    <t xml:space="preserve">Preservation facility</t>
  </si>
  <si>
    <t xml:space="preserve">Scale operations</t>
  </si>
  <si>
    <t xml:space="preserve">Bone and shell tools</t>
  </si>
  <si>
    <t xml:space="preserve">Surplus for trade</t>
  </si>
  <si>
    <t xml:space="preserve">Create trade goods</t>
  </si>
  <si>
    <t xml:space="preserve">Seaweed fiber</t>
  </si>
  <si>
    <t xml:space="preserve">Cloth and nets</t>
  </si>
  <si>
    <t xml:space="preserve">Make fabric</t>
  </si>
  <si>
    <t xml:space="preserve">Fishing trip prep</t>
  </si>
  <si>
    <t xml:space="preserve">Boat maintenance</t>
  </si>
  <si>
    <t xml:space="preserve">Supply check</t>
  </si>
  <si>
    <t xml:space="preserve">Prepare expeditions</t>
  </si>
  <si>
    <t xml:space="preserve">Boat fishing expedition</t>
  </si>
  <si>
    <t xml:space="preserve">Multi-day trip</t>
  </si>
  <si>
    <t xml:space="preserve">Extended range</t>
  </si>
  <si>
    <t xml:space="preserve">High-value fishing</t>
  </si>
  <si>
    <t xml:space="preserve">Fishing processing</t>
  </si>
  <si>
    <t xml:space="preserve">Preserve catch</t>
  </si>
  <si>
    <t xml:space="preserve">Continuous work</t>
  </si>
  <si>
    <t xml:space="preserve">Handle abundance</t>
  </si>
  <si>
    <t xml:space="preserve">Final forage season</t>
  </si>
  <si>
    <t xml:space="preserve">Seasonal items</t>
  </si>
  <si>
    <t xml:space="preserve">Last opportunities</t>
  </si>
  <si>
    <t xml:space="preserve">Capture seasonal peaks</t>
  </si>
  <si>
    <t xml:space="preserve">Final assessment</t>
  </si>
  <si>
    <t xml:space="preserve">Count supplies</t>
  </si>
  <si>
    <t xml:space="preserve">Cooking fires</t>
  </si>
  <si>
    <t xml:space="preserve">For storage</t>
  </si>
  <si>
    <t xml:space="preserve">Make charcoal</t>
  </si>
  <si>
    <t xml:space="preserve">Medicine production</t>
  </si>
  <si>
    <t xml:space="preserve">Herb processing</t>
  </si>
  <si>
    <t xml:space="preserve">Final batches</t>
  </si>
  <si>
    <t xml:space="preserve">Complete medicine</t>
  </si>
  <si>
    <t xml:space="preserve">Final preparation</t>
  </si>
  <si>
    <t xml:space="preserve">Full readiness</t>
  </si>
  <si>
    <t xml:space="preserve">Month 2 conclusion</t>
  </si>
  <si>
    <t xml:space="preserve">Boat building expansion</t>
  </si>
  <si>
    <t xml:space="preserve">Better boats</t>
  </si>
  <si>
    <t xml:space="preserve">Multiple vessels</t>
  </si>
  <si>
    <t xml:space="preserve">Fleet expansion</t>
  </si>
  <si>
    <t xml:space="preserve">Paddle and sail</t>
  </si>
  <si>
    <t xml:space="preserve">Improved paddles</t>
  </si>
  <si>
    <t xml:space="preserve">Better designs</t>
  </si>
  <si>
    <t xml:space="preserve">Coastal trade route</t>
  </si>
  <si>
    <t xml:space="preserve">Map routes</t>
  </si>
  <si>
    <t xml:space="preserve">Identify posts</t>
  </si>
  <si>
    <t xml:space="preserve">Planning long-term</t>
  </si>
  <si>
    <t xml:space="preserve">All resources</t>
  </si>
  <si>
    <t xml:space="preserve">Daily forage</t>
  </si>
  <si>
    <t xml:space="preserve">Continuous harvest</t>
  </si>
  <si>
    <t xml:space="preserve">Supplementary</t>
  </si>
  <si>
    <t xml:space="preserve">Daily procurement</t>
  </si>
  <si>
    <t xml:space="preserve">Food preservation</t>
  </si>
  <si>
    <t xml:space="preserve">Continuous operation</t>
  </si>
  <si>
    <t xml:space="preserve">Full capacity</t>
  </si>
  <si>
    <t xml:space="preserve">Maximum processing</t>
  </si>
  <si>
    <t xml:space="preserve">Tool production trade</t>
  </si>
  <si>
    <t xml:space="preserve">Create surplus</t>
  </si>
  <si>
    <t xml:space="preserve">Trade items</t>
  </si>
  <si>
    <t xml:space="preserve">Make trade goods</t>
  </si>
  <si>
    <t xml:space="preserve">Textile trading goods</t>
  </si>
  <si>
    <t xml:space="preserve">Premium cloth</t>
  </si>
  <si>
    <t xml:space="preserve">Trade-quality items</t>
  </si>
  <si>
    <t xml:space="preserve">Valuable goods</t>
  </si>
  <si>
    <t xml:space="preserve">Pottery production</t>
  </si>
  <si>
    <t xml:space="preserve">Sea clay</t>
  </si>
  <si>
    <t xml:space="preserve">Storage vessels</t>
  </si>
  <si>
    <t xml:space="preserve">Make containers</t>
  </si>
  <si>
    <t xml:space="preserve">Salt trading goods</t>
  </si>
  <si>
    <t xml:space="preserve">Premium salt</t>
  </si>
  <si>
    <t xml:space="preserve">Trade supply</t>
  </si>
  <si>
    <t xml:space="preserve">Valuable commodity</t>
  </si>
  <si>
    <t xml:space="preserve">Fishing daily</t>
  </si>
  <si>
    <t xml:space="preserve">Routine operations</t>
  </si>
  <si>
    <t xml:space="preserve">Sustaining supply</t>
  </si>
  <si>
    <t xml:space="preserve">Forage and process</t>
  </si>
  <si>
    <t xml:space="preserve">Daily harvests</t>
  </si>
  <si>
    <t xml:space="preserve">Continuous cycle</t>
  </si>
  <si>
    <t xml:space="preserve">Durability</t>
  </si>
  <si>
    <t xml:space="preserve">Keep shelter sound</t>
  </si>
  <si>
    <t xml:space="preserve">Maintenance</t>
  </si>
  <si>
    <t xml:space="preserve">Regular upkeep</t>
  </si>
  <si>
    <t xml:space="preserve">Fleet care</t>
  </si>
  <si>
    <t xml:space="preserve">Preserve vessels</t>
  </si>
  <si>
    <t xml:space="preserve">Water quality check</t>
  </si>
  <si>
    <t xml:space="preserve">Testing systems</t>
  </si>
  <si>
    <t xml:space="preserve">Freshwater security</t>
  </si>
  <si>
    <t xml:space="preserve">Verify systems</t>
  </si>
  <si>
    <t xml:space="preserve">Candle/lamp making</t>
  </si>
  <si>
    <t xml:space="preserve">From tallow/oil</t>
  </si>
  <si>
    <t xml:space="preserve">Light sources</t>
  </si>
  <si>
    <t xml:space="preserve">Create lighting</t>
  </si>
  <si>
    <t xml:space="preserve">Hygiene supply</t>
  </si>
  <si>
    <t xml:space="preserve">Scale production</t>
  </si>
  <si>
    <t xml:space="preserve">Additional herbs</t>
  </si>
  <si>
    <t xml:space="preserve">Build inventory</t>
  </si>
  <si>
    <t xml:space="preserve">Expand medicine</t>
  </si>
  <si>
    <t xml:space="preserve">Fishing final push</t>
  </si>
  <si>
    <t xml:space="preserve">Last season</t>
  </si>
  <si>
    <t xml:space="preserve">Intensive fishing</t>
  </si>
  <si>
    <t xml:space="preserve">Last seasonal forage</t>
  </si>
  <si>
    <t xml:space="preserve">Final opportunities</t>
  </si>
  <si>
    <t xml:space="preserve">Season's end</t>
  </si>
  <si>
    <t xml:space="preserve">Capture peaks</t>
  </si>
  <si>
    <t xml:space="preserve">Final food inventory</t>
  </si>
  <si>
    <t xml:space="preserve">Complete count</t>
  </si>
  <si>
    <t xml:space="preserve">Total assessment</t>
  </si>
  <si>
    <t xml:space="preserve">Final tally</t>
  </si>
  <si>
    <t xml:space="preserve">Trade goods completion</t>
  </si>
  <si>
    <t xml:space="preserve">Final production</t>
  </si>
  <si>
    <t xml:space="preserve">Ready to trade</t>
  </si>
  <si>
    <t xml:space="preserve">Complete goods</t>
  </si>
  <si>
    <t xml:space="preserve">Tool surplus</t>
  </si>
  <si>
    <t xml:space="preserve">Extra tools</t>
  </si>
  <si>
    <t xml:space="preserve">Trade reserves</t>
  </si>
  <si>
    <t xml:space="preserve">Create reserves</t>
  </si>
  <si>
    <t xml:space="preserve">Textile surplus</t>
  </si>
  <si>
    <t xml:space="preserve">Trade goods</t>
  </si>
  <si>
    <t xml:space="preserve">Extra textiles</t>
  </si>
  <si>
    <t xml:space="preserve">Final fishing</t>
  </si>
  <si>
    <t xml:space="preserve">Last catches</t>
  </si>
  <si>
    <t xml:space="preserve">Conclude fishing</t>
  </si>
  <si>
    <t xml:space="preserve">Forage finale</t>
  </si>
  <si>
    <t xml:space="preserve">Last harvests</t>
  </si>
  <si>
    <t xml:space="preserve">Final season work</t>
  </si>
  <si>
    <t xml:space="preserve">End of season</t>
  </si>
  <si>
    <t xml:space="preserve">Winter shelter prep</t>
  </si>
  <si>
    <t xml:space="preserve">Storm readiness</t>
  </si>
  <si>
    <t xml:space="preserve">Heavy weather</t>
  </si>
  <si>
    <t xml:space="preserve">Equipment final check</t>
  </si>
  <si>
    <t xml:space="preserve">Full inspection</t>
  </si>
  <si>
    <t xml:space="preserve">All systems</t>
  </si>
  <si>
    <t xml:space="preserve">Verify everything</t>
  </si>
  <si>
    <t xml:space="preserve">Coastal survival established</t>
  </si>
  <si>
    <t xml:space="preserve">Reflection</t>
  </si>
  <si>
    <t xml:space="preserve">Sustainable system</t>
  </si>
  <si>
    <t xml:space="preserve">Long-term living</t>
  </si>
  <si>
    <t xml:space="preserve">90-day milestone</t>
  </si>
  <si>
    <t xml:space="preserve">Altitude/Season</t>
  </si>
  <si>
    <t xml:space="preserve">High altitude camp</t>
  </si>
  <si>
    <t xml:space="preserve">Rocks, logs</t>
  </si>
  <si>
    <t xml:space="preserve">Alpine zone, cold</t>
  </si>
  <si>
    <t xml:space="preserve">Altitude acclimatization</t>
  </si>
  <si>
    <t xml:space="preserve">Emergency shelter</t>
  </si>
  <si>
    <t xml:space="preserve">Rock overhang use</t>
  </si>
  <si>
    <t xml:space="preserve">Temperature drops fast</t>
  </si>
  <si>
    <t xml:space="preserve">Protection critical</t>
  </si>
  <si>
    <t xml:space="preserve">Fire for warmth</t>
  </si>
  <si>
    <t xml:space="preserve">High wood output</t>
  </si>
  <si>
    <t xml:space="preserve">Altitude wood scarce</t>
  </si>
  <si>
    <t xml:space="preserve">Heat is survival</t>
  </si>
  <si>
    <t xml:space="preserve">Timber harvesting</t>
  </si>
  <si>
    <t xml:space="preserve">Chainsaws or axes</t>
  </si>
  <si>
    <t xml:space="preserve">Treeline advantages</t>
  </si>
  <si>
    <t xml:space="preserve">Below treeline harvesting</t>
  </si>
  <si>
    <t xml:space="preserve">Log cabin start</t>
  </si>
  <si>
    <t xml:space="preserve">Heavy logs</t>
  </si>
  <si>
    <t xml:space="preserve">Structural frame</t>
  </si>
  <si>
    <t xml:space="preserve">Insulation needed</t>
  </si>
  <si>
    <t xml:space="preserve">Cabin walls</t>
  </si>
  <si>
    <t xml:space="preserve">Stacked logs</t>
  </si>
  <si>
    <t xml:space="preserve">Tight fit crucial</t>
  </si>
  <si>
    <t xml:space="preserve">Weather seal important</t>
  </si>
  <si>
    <t xml:space="preserve">Roof structure</t>
  </si>
  <si>
    <t xml:space="preserve">Heavy timber</t>
  </si>
  <si>
    <t xml:space="preserve">Snow load prep</t>
  </si>
  <si>
    <t xml:space="preserve">Must handle snow</t>
  </si>
  <si>
    <t xml:space="preserve">Alpine meadow forage</t>
  </si>
  <si>
    <t xml:space="preserve">Mountain plants diverse</t>
  </si>
  <si>
    <t xml:space="preserve">Early season greens</t>
  </si>
  <si>
    <t xml:space="preserve">Hunting setup</t>
  </si>
  <si>
    <t xml:space="preserve">Rifle/bow, snares</t>
  </si>
  <si>
    <t xml:space="preserve">Big game territory</t>
  </si>
  <si>
    <t xml:space="preserve">Elk, deer, small game</t>
  </si>
  <si>
    <t xml:space="preserve">Water from stream</t>
  </si>
  <si>
    <t xml:space="preserve">Container, filter</t>
  </si>
  <si>
    <t xml:space="preserve">High elevation source</t>
  </si>
  <si>
    <t xml:space="preserve">Pure mountain water</t>
  </si>
  <si>
    <t xml:space="preserve">Trap lines</t>
  </si>
  <si>
    <t xml:space="preserve">Snares, deadfalls</t>
  </si>
  <si>
    <t xml:space="preserve">Game paths identified</t>
  </si>
  <si>
    <t xml:space="preserve">Passive hunting</t>
  </si>
  <si>
    <t xml:space="preserve">Fishing alpine</t>
  </si>
  <si>
    <t xml:space="preserve">Rod or net</t>
  </si>
  <si>
    <t xml:space="preserve">Mountain lakes/streams</t>
  </si>
  <si>
    <t xml:space="preserve">High elevation fish</t>
  </si>
  <si>
    <t xml:space="preserve">Rifle/bow stalking</t>
  </si>
  <si>
    <t xml:space="preserve">Elk season</t>
  </si>
  <si>
    <t xml:space="preserve">Large game harvest</t>
  </si>
  <si>
    <t xml:space="preserve">Meat preservation</t>
  </si>
  <si>
    <t xml:space="preserve">Smoking, drying</t>
  </si>
  <si>
    <t xml:space="preserve">High altitude help</t>
  </si>
  <si>
    <t xml:space="preserve">Bark, thatch, pitch</t>
  </si>
  <si>
    <t xml:space="preserve">Winter prep urgent</t>
  </si>
  <si>
    <t xml:space="preserve">Weather before snow</t>
  </si>
  <si>
    <t xml:space="preserve">Root crop forage</t>
  </si>
  <si>
    <t xml:space="preserve">Digging, collection</t>
  </si>
  <si>
    <t xml:space="preserve">Mountain tubers</t>
  </si>
  <si>
    <t xml:space="preserve">High calorie foods</t>
  </si>
  <si>
    <t xml:space="preserve">Hunting/fishing</t>
  </si>
  <si>
    <t xml:space="preserve">All methods</t>
  </si>
  <si>
    <t xml:space="preserve">Peak season</t>
  </si>
  <si>
    <t xml:space="preserve">Meat processing</t>
  </si>
  <si>
    <t xml:space="preserve">Large quantity</t>
  </si>
  <si>
    <t xml:space="preserve">Game preservation</t>
  </si>
  <si>
    <t xml:space="preserve">Salt, smoke, dry</t>
  </si>
  <si>
    <t xml:space="preserve">Winter supply prep</t>
  </si>
  <si>
    <t xml:space="preserve">Berry forage</t>
  </si>
  <si>
    <t xml:space="preserve">Collection time</t>
  </si>
  <si>
    <t xml:space="preserve">Peak ripening</t>
  </si>
  <si>
    <t xml:space="preserve">High energy foods</t>
  </si>
  <si>
    <t xml:space="preserve">Mid-month review</t>
  </si>
  <si>
    <t xml:space="preserve">Check progress</t>
  </si>
  <si>
    <t xml:space="preserve">Cabin interior</t>
  </si>
  <si>
    <t xml:space="preserve">Living space finish</t>
  </si>
  <si>
    <t xml:space="preserve">Comfort and storage</t>
  </si>
  <si>
    <t xml:space="preserve">Storage cellar</t>
  </si>
  <si>
    <t xml:space="preserve">Rock lined</t>
  </si>
  <si>
    <t xml:space="preserve">Temperature controlled</t>
  </si>
  <si>
    <t xml:space="preserve">Cold storage advantage</t>
  </si>
  <si>
    <t xml:space="preserve">Mountain materials</t>
  </si>
  <si>
    <t xml:space="preserve">Fireplace/chimney</t>
  </si>
  <si>
    <t xml:space="preserve">Stone, clay, mud</t>
  </si>
  <si>
    <t xml:space="preserve">Critical for heating</t>
  </si>
  <si>
    <t xml:space="preserve">Smoke and heat control</t>
  </si>
  <si>
    <t xml:space="preserve">Hunting expansion</t>
  </si>
  <si>
    <t xml:space="preserve">More trap lines</t>
  </si>
  <si>
    <t xml:space="preserve">Scale trapping</t>
  </si>
  <si>
    <t xml:space="preserve">Fishing trips</t>
  </si>
  <si>
    <t xml:space="preserve">Lake and stream</t>
  </si>
  <si>
    <t xml:space="preserve">Diverse fishing</t>
  </si>
  <si>
    <t xml:space="preserve">Winter prep</t>
  </si>
  <si>
    <t xml:space="preserve">Assessment and plan</t>
  </si>
  <si>
    <t xml:space="preserve">Season changing</t>
  </si>
  <si>
    <t xml:space="preserve">Cabin completion</t>
  </si>
  <si>
    <t xml:space="preserve">Final touches</t>
  </si>
  <si>
    <t xml:space="preserve">Move-in ready</t>
  </si>
  <si>
    <t xml:space="preserve">Habitable shelter</t>
  </si>
  <si>
    <t xml:space="preserve">Winter provisioning</t>
  </si>
  <si>
    <t xml:space="preserve">Final preparations</t>
  </si>
  <si>
    <t xml:space="preserve">Snow imminent</t>
  </si>
  <si>
    <t xml:space="preserve">Stock final supplies</t>
  </si>
  <si>
    <t xml:space="preserve">Hunting peak</t>
  </si>
  <si>
    <t xml:space="preserve">Heavy harvest</t>
  </si>
  <si>
    <t xml:space="preserve">Before snow</t>
  </si>
  <si>
    <t xml:space="preserve">Maximum take</t>
  </si>
  <si>
    <t xml:space="preserve">Game processing</t>
  </si>
  <si>
    <t xml:space="preserve">Smoking racks full</t>
  </si>
  <si>
    <t xml:space="preserve">Handle peak harvest</t>
  </si>
  <si>
    <t xml:space="preserve">Forage final</t>
  </si>
  <si>
    <t xml:space="preserve">Last season items</t>
  </si>
  <si>
    <t xml:space="preserve">Before snow cover</t>
  </si>
  <si>
    <t xml:space="preserve">Last green foods</t>
  </si>
  <si>
    <t xml:space="preserve">Root crop harvest</t>
  </si>
  <si>
    <t xml:space="preserve">Intensive gathering</t>
  </si>
  <si>
    <t xml:space="preserve">Tuber storage</t>
  </si>
  <si>
    <t xml:space="preserve">Root cellar filling</t>
  </si>
  <si>
    <t xml:space="preserve">Winter design</t>
  </si>
  <si>
    <t xml:space="preserve">Spring fed</t>
  </si>
  <si>
    <t xml:space="preserve">Unfrozen source needed</t>
  </si>
  <si>
    <t xml:space="preserve">Woodpile stacking</t>
  </si>
  <si>
    <t xml:space="preserve">Resource Storage</t>
  </si>
  <si>
    <t xml:space="preserve">Cords of wood</t>
  </si>
  <si>
    <t xml:space="preserve">Insulation value</t>
  </si>
  <si>
    <t xml:space="preserve">Winter fuel supply</t>
  </si>
  <si>
    <t xml:space="preserve">Before freeze</t>
  </si>
  <si>
    <t xml:space="preserve">Last open water</t>
  </si>
  <si>
    <t xml:space="preserve">Preservation final</t>
  </si>
  <si>
    <t xml:space="preserve">Complete batches</t>
  </si>
  <si>
    <t xml:space="preserve">Storage full</t>
  </si>
  <si>
    <t xml:space="preserve">Finishing preservation</t>
  </si>
  <si>
    <t xml:space="preserve">Shed/storage</t>
  </si>
  <si>
    <t xml:space="preserve">Tool and supply</t>
  </si>
  <si>
    <t xml:space="preserve">Weather protection</t>
  </si>
  <si>
    <t xml:space="preserve">Organize supplies</t>
  </si>
  <si>
    <t xml:space="preserve">Snow prep</t>
  </si>
  <si>
    <t xml:space="preserve">Preparation</t>
  </si>
  <si>
    <t xml:space="preserve">Insulation, seals</t>
  </si>
  <si>
    <t xml:space="preserve">Before winter</t>
  </si>
  <si>
    <t xml:space="preserve">Winterization final</t>
  </si>
  <si>
    <t xml:space="preserve">Meat/food final</t>
  </si>
  <si>
    <t xml:space="preserve">Inventory complete</t>
  </si>
  <si>
    <t xml:space="preserve">Winter stockpile</t>
  </si>
  <si>
    <t xml:space="preserve">Food security check</t>
  </si>
  <si>
    <t xml:space="preserve">Full resources</t>
  </si>
  <si>
    <t xml:space="preserve">Major milestone</t>
  </si>
  <si>
    <t xml:space="preserve">Winter survival start</t>
  </si>
  <si>
    <t xml:space="preserve">Shelter check</t>
  </si>
  <si>
    <t xml:space="preserve">Temperature dropping</t>
  </si>
  <si>
    <t xml:space="preserve">Heating system test</t>
  </si>
  <si>
    <t xml:space="preserve">Plant materials</t>
  </si>
  <si>
    <t xml:space="preserve">Binding and repairs</t>
  </si>
  <si>
    <t xml:space="preserve">Supply production</t>
  </si>
  <si>
    <t xml:space="preserve">Extend tool life</t>
  </si>
  <si>
    <t xml:space="preserve">Equipment care</t>
  </si>
  <si>
    <t xml:space="preserve">Hunting winter</t>
  </si>
  <si>
    <t xml:space="preserve">Trap checks</t>
  </si>
  <si>
    <t xml:space="preserve">Snow tracking</t>
  </si>
  <si>
    <t xml:space="preserve">Winter hunting</t>
  </si>
  <si>
    <t xml:space="preserve">Woodworking</t>
  </si>
  <si>
    <t xml:space="preserve">Cabin items</t>
  </si>
  <si>
    <t xml:space="preserve">Indoor projects</t>
  </si>
  <si>
    <t xml:space="preserve">Create supplies</t>
  </si>
  <si>
    <t xml:space="preserve">Fiber/textile</t>
  </si>
  <si>
    <t xml:space="preserve">Cord and cloth</t>
  </si>
  <si>
    <t xml:space="preserve">Winter projects</t>
  </si>
  <si>
    <t xml:space="preserve">Make textiles</t>
  </si>
  <si>
    <t xml:space="preserve">Create spares</t>
  </si>
  <si>
    <t xml:space="preserve">Winter workshop</t>
  </si>
  <si>
    <t xml:space="preserve">Backup tools</t>
  </si>
  <si>
    <t xml:space="preserve">Food rotation</t>
  </si>
  <si>
    <t xml:space="preserve">Manage storage</t>
  </si>
  <si>
    <t xml:space="preserve">Seasonal eating</t>
  </si>
  <si>
    <t xml:space="preserve">Meal planning</t>
  </si>
  <si>
    <t xml:space="preserve">Hunting maintenance</t>
  </si>
  <si>
    <t xml:space="preserve">Regular traps</t>
  </si>
  <si>
    <t xml:space="preserve">Supplementary food</t>
  </si>
  <si>
    <t xml:space="preserve">Continue hunting</t>
  </si>
  <si>
    <t xml:space="preserve">Fishing under ice</t>
  </si>
  <si>
    <t xml:space="preserve">Ice fishing setup</t>
  </si>
  <si>
    <t xml:space="preserve">Winter fishing</t>
  </si>
  <si>
    <t xml:space="preserve">Alternative protein</t>
  </si>
  <si>
    <t xml:space="preserve">Check integrity</t>
  </si>
  <si>
    <t xml:space="preserve">Snow load check</t>
  </si>
  <si>
    <t xml:space="preserve">Winter stress test</t>
  </si>
  <si>
    <t xml:space="preserve">Food assessment</t>
  </si>
  <si>
    <t xml:space="preserve">Inventory check</t>
  </si>
  <si>
    <t xml:space="preserve">Supply status</t>
  </si>
  <si>
    <t xml:space="preserve">Ration planning</t>
  </si>
  <si>
    <t xml:space="preserve">Late winter hunt</t>
  </si>
  <si>
    <t xml:space="preserve">Game patterns</t>
  </si>
  <si>
    <t xml:space="preserve">Final hunting push</t>
  </si>
  <si>
    <t xml:space="preserve">Forage search</t>
  </si>
  <si>
    <t xml:space="preserve">Winter edibles</t>
  </si>
  <si>
    <t xml:space="preserve">Limited options</t>
  </si>
  <si>
    <t xml:space="preserve">Find available foods</t>
  </si>
  <si>
    <t xml:space="preserve">Firewood gathering</t>
  </si>
  <si>
    <t xml:space="preserve">Emergency reserve</t>
  </si>
  <si>
    <t xml:space="preserve">High consumption</t>
  </si>
  <si>
    <t xml:space="preserve">Extra heating fuel</t>
  </si>
  <si>
    <t xml:space="preserve">Fishing routine</t>
  </si>
  <si>
    <t xml:space="preserve">Ice fishing</t>
  </si>
  <si>
    <t xml:space="preserve">Consistent effort</t>
  </si>
  <si>
    <t xml:space="preserve">Regular harvesting</t>
  </si>
  <si>
    <t xml:space="preserve">Tool workshop</t>
  </si>
  <si>
    <t xml:space="preserve">Upgrade/repair</t>
  </si>
  <si>
    <t xml:space="preserve">Spring preparation</t>
  </si>
  <si>
    <t xml:space="preserve">Prepare for spring</t>
  </si>
  <si>
    <t xml:space="preserve">Month 3 assessment</t>
  </si>
  <si>
    <t xml:space="preserve">Final winter count</t>
  </si>
  <si>
    <t xml:space="preserve">Food and supplies</t>
  </si>
  <si>
    <t xml:space="preserve">Thaw monitoring</t>
  </si>
  <si>
    <t xml:space="preserve">Transition planning</t>
  </si>
  <si>
    <t xml:space="preserve">Hunting spring</t>
  </si>
  <si>
    <t xml:space="preserve">New season game</t>
  </si>
  <si>
    <t xml:space="preserve">Animal patterns shift</t>
  </si>
  <si>
    <t xml:space="preserve">Spring hunting</t>
  </si>
  <si>
    <t xml:space="preserve">Fishing spring</t>
  </si>
  <si>
    <t xml:space="preserve">Water returning</t>
  </si>
  <si>
    <t xml:space="preserve">Increased activity</t>
  </si>
  <si>
    <t xml:space="preserve">Spring fishing boom</t>
  </si>
  <si>
    <t xml:space="preserve">Forage emergence</t>
  </si>
  <si>
    <t xml:space="preserve">Spring plants</t>
  </si>
  <si>
    <t xml:space="preserve">Greens available</t>
  </si>
  <si>
    <t xml:space="preserve">Fresh foods</t>
  </si>
  <si>
    <t xml:space="preserve">Long days</t>
  </si>
  <si>
    <t xml:space="preserve">Maximum productivity</t>
  </si>
  <si>
    <t xml:space="preserve">Spring harvest</t>
  </si>
  <si>
    <t xml:space="preserve">Handle production</t>
  </si>
  <si>
    <t xml:space="preserve">Trade preparation</t>
  </si>
  <si>
    <t xml:space="preserve">Cloth and fiber</t>
  </si>
  <si>
    <t xml:space="preserve">Market goods</t>
  </si>
  <si>
    <t xml:space="preserve">Create fabric</t>
  </si>
  <si>
    <t xml:space="preserve">Pottery/containers</t>
  </si>
  <si>
    <t xml:space="preserve">Clay vessels</t>
  </si>
  <si>
    <t xml:space="preserve">Storage and trade</t>
  </si>
  <si>
    <t xml:space="preserve">Hunting continuation</t>
  </si>
  <si>
    <t xml:space="preserve">Sustained effort</t>
  </si>
  <si>
    <t xml:space="preserve">Food supply</t>
  </si>
  <si>
    <t xml:space="preserve">Daily harvest</t>
  </si>
  <si>
    <t xml:space="preserve">Spring harvests</t>
  </si>
  <si>
    <t xml:space="preserve">Process foods</t>
  </si>
  <si>
    <t xml:space="preserve">Inspect damage</t>
  </si>
  <si>
    <t xml:space="preserve">Winter wear assessment</t>
  </si>
  <si>
    <t xml:space="preserve">Repair damage</t>
  </si>
  <si>
    <t xml:space="preserve">Tool servicing</t>
  </si>
  <si>
    <t xml:space="preserve">Sharpen and repair</t>
  </si>
  <si>
    <t xml:space="preserve">Water system check</t>
  </si>
  <si>
    <t xml:space="preserve">Functionality test</t>
  </si>
  <si>
    <t xml:space="preserve">Spring flows verify</t>
  </si>
  <si>
    <t xml:space="preserve">System verification</t>
  </si>
  <si>
    <t xml:space="preserve">Light production</t>
  </si>
  <si>
    <t xml:space="preserve">Medicine making</t>
  </si>
  <si>
    <t xml:space="preserve">Spring herbs</t>
  </si>
  <si>
    <t xml:space="preserve">Fresh medicine</t>
  </si>
  <si>
    <t xml:space="preserve">Hunting final push</t>
  </si>
  <si>
    <t xml:space="preserve">High effort</t>
  </si>
  <si>
    <t xml:space="preserve">Peak season close</t>
  </si>
  <si>
    <t xml:space="preserve">Intensive hunting</t>
  </si>
  <si>
    <t xml:space="preserve">Forage last peak</t>
  </si>
  <si>
    <t xml:space="preserve">Final seasonal</t>
  </si>
  <si>
    <t xml:space="preserve">Season transitions</t>
  </si>
  <si>
    <t xml:space="preserve">Trade goods final</t>
  </si>
  <si>
    <t xml:space="preserve">Production peak</t>
  </si>
  <si>
    <t xml:space="preserve">Final hunting</t>
  </si>
  <si>
    <t xml:space="preserve">Conclude hunting</t>
  </si>
  <si>
    <t xml:space="preserve">Forage conclusion</t>
  </si>
  <si>
    <t xml:space="preserve">Final harvests</t>
  </si>
  <si>
    <t xml:space="preserve">Season end</t>
  </si>
  <si>
    <t xml:space="preserve">Shelter summer prep</t>
  </si>
  <si>
    <t xml:space="preserve">Ventilation upgrades</t>
  </si>
  <si>
    <t xml:space="preserve">Hot season</t>
  </si>
  <si>
    <t xml:space="preserve">Summer readiness</t>
  </si>
  <si>
    <t xml:space="preserve">Mountain homestead stable</t>
  </si>
  <si>
    <t xml:space="preserve">Self-sustaining system</t>
  </si>
  <si>
    <t xml:space="preserve">Resource</t>
  </si>
  <si>
    <t xml:space="preserve">Daily Need/Person</t>
  </si>
  <si>
    <t xml:space="preserve">Weekly Need/Person</t>
  </si>
  <si>
    <t xml:space="preserve">Monthly Need (1 person)</t>
  </si>
  <si>
    <t xml:space="preserve">Monthly Need (4 people)</t>
  </si>
  <si>
    <t xml:space="preserve">Monthly Need (8 people)</t>
  </si>
  <si>
    <t xml:space="preserve">Source</t>
  </si>
  <si>
    <t xml:space="preserve">Storage Method</t>
  </si>
  <si>
    <t xml:space="preserve">Spring, rain, stream</t>
  </si>
  <si>
    <t xml:space="preserve">Containers, cistern</t>
  </si>
  <si>
    <t xml:space="preserve">Calories</t>
  </si>
  <si>
    <t xml:space="preserve">Hunting, foraging, fishing</t>
  </si>
  <si>
    <t xml:space="preserve">Root cellar, smoking</t>
  </si>
  <si>
    <t xml:space="preserve">Firewood (lbs)</t>
  </si>
  <si>
    <t xml:space="preserve">Fallen, cut timber</t>
  </si>
  <si>
    <t xml:space="preserve">Dry stacked, covered</t>
  </si>
  <si>
    <t xml:space="preserve">Shelter (hours)</t>
  </si>
  <si>
    <t xml:space="preserve">Own labor</t>
  </si>
  <si>
    <t xml:space="preserve">Maintenance log</t>
  </si>
  <si>
    <t xml:space="preserve">Salt (g)</t>
  </si>
  <si>
    <t xml:space="preserve">Sea evaporation, rock</t>
  </si>
  <si>
    <t xml:space="preserve">Sealed containers</t>
  </si>
  <si>
    <t xml:space="preserve">Fat/Oil (g)</t>
  </si>
  <si>
    <t xml:space="preserve">Animal fat, nuts, seeds</t>
  </si>
  <si>
    <t xml:space="preserve">Rendered, sealed</t>
  </si>
  <si>
    <t xml:space="preserve">Protein (g)</t>
  </si>
  <si>
    <t xml:space="preserve">Hunting, fishing, plants</t>
  </si>
  <si>
    <t xml:space="preserve">Dried, smoked, salted</t>
  </si>
  <si>
    <t xml:space="preserve">Carbs (g)</t>
  </si>
  <si>
    <t xml:space="preserve">Grains, roots, forage</t>
  </si>
  <si>
    <t xml:space="preserve">Dry, cool storage</t>
  </si>
  <si>
    <t xml:space="preserve">Fiber (cordage, ft)</t>
  </si>
  <si>
    <t xml:space="preserve">Plant bark, hemp</t>
  </si>
  <si>
    <t xml:space="preserve">Coils, dry storage</t>
  </si>
  <si>
    <t xml:space="preserve">Clay (lbs)</t>
  </si>
  <si>
    <t xml:space="preserve">Local deposits</t>
  </si>
  <si>
    <t xml:space="preserve">Damp storage</t>
  </si>
  <si>
    <t xml:space="preserve">Wood (tool, lbs)</t>
  </si>
  <si>
    <t xml:space="preserve">Cut, stacked, dry</t>
  </si>
  <si>
    <t xml:space="preserve">Medical supplies</t>
  </si>
  <si>
    <t xml:space="preserve">Herbs, honey, plant</t>
  </si>
  <si>
    <t xml:space="preserve">Dried, sealed</t>
  </si>
  <si>
    <t xml:space="preserve">Soap (bars)</t>
  </si>
  <si>
    <t xml:space="preserve">Animal fat, ash</t>
  </si>
  <si>
    <t xml:space="preserve">Cool, dry place</t>
  </si>
  <si>
    <t xml:space="preserve">Light/fuel (oil, oz)</t>
  </si>
  <si>
    <t xml:space="preserve">Animal/plant oils</t>
  </si>
  <si>
    <t xml:space="preserve">Sealed, dark bottles</t>
  </si>
  <si>
    <t xml:space="preserve">Item</t>
  </si>
  <si>
    <t xml:space="preserve">Category</t>
  </si>
  <si>
    <t xml:space="preserve">Quantity On Hand</t>
  </si>
  <si>
    <t xml:space="preserve">Unit</t>
  </si>
  <si>
    <t xml:space="preserve">Minimum Needed</t>
  </si>
  <si>
    <t xml:space="preserve">Status</t>
  </si>
  <si>
    <t xml:space="preserve">Restock Priority</t>
  </si>
  <si>
    <t xml:space="preserve">Source/How to Get</t>
  </si>
  <si>
    <t xml:space="preserve">Water containers (5gal)</t>
  </si>
  <si>
    <t xml:space="preserve">Water</t>
  </si>
  <si>
    <t xml:space="preserve">units</t>
  </si>
  <si>
    <t xml:space="preserve">Purchase/craft</t>
  </si>
  <si>
    <t xml:space="preserve">Essential storage</t>
  </si>
  <si>
    <t xml:space="preserve">Water filters</t>
  </si>
  <si>
    <t xml:space="preserve">Purchase</t>
  </si>
  <si>
    <t xml:space="preserve">Purification method</t>
  </si>
  <si>
    <t xml:space="preserve">Water purification tabs</t>
  </si>
  <si>
    <t xml:space="preserve">tablets</t>
  </si>
  <si>
    <t xml:space="preserve">Backup purification</t>
  </si>
  <si>
    <t xml:space="preserve">Grain (flour, rice)</t>
  </si>
  <si>
    <t xml:space="preserve">lbs</t>
  </si>
  <si>
    <t xml:space="preserve">Store/grind</t>
  </si>
  <si>
    <t xml:space="preserve">Carbohydrate base</t>
  </si>
  <si>
    <t xml:space="preserve">Beans/legumes</t>
  </si>
  <si>
    <t xml:space="preserve">Store/grow</t>
  </si>
  <si>
    <t xml:space="preserve">Protein source</t>
  </si>
  <si>
    <t xml:space="preserve">Salt</t>
  </si>
  <si>
    <t xml:space="preserve">Produce/harvest</t>
  </si>
  <si>
    <t xml:space="preserve">Sugar/honey</t>
  </si>
  <si>
    <t xml:space="preserve">Bees/trade</t>
  </si>
  <si>
    <t xml:space="preserve">Energy and preservation</t>
  </si>
  <si>
    <t xml:space="preserve">Oil/fat</t>
  </si>
  <si>
    <t xml:space="preserve">Render/harvest</t>
  </si>
  <si>
    <t xml:space="preserve">Cooking and calories</t>
  </si>
  <si>
    <t xml:space="preserve">Vinegar</t>
  </si>
  <si>
    <t xml:space="preserve">gallons</t>
  </si>
  <si>
    <t xml:space="preserve">Ferment/trade</t>
  </si>
  <si>
    <t xml:space="preserve">Preservation and health</t>
  </si>
  <si>
    <t xml:space="preserve">Dried herbs/spices</t>
  </si>
  <si>
    <t xml:space="preserve">Harvest/dry</t>
  </si>
  <si>
    <t xml:space="preserve">Flavor and medicine</t>
  </si>
  <si>
    <t xml:space="preserve">Axes/hatchets</t>
  </si>
  <si>
    <t xml:space="preserve">Tools</t>
  </si>
  <si>
    <t xml:space="preserve">Craft/purchase</t>
  </si>
  <si>
    <t xml:space="preserve">Wood cutting</t>
  </si>
  <si>
    <t xml:space="preserve">Saws</t>
  </si>
  <si>
    <t xml:space="preserve">Lumber work</t>
  </si>
  <si>
    <t xml:space="preserve">Knives</t>
  </si>
  <si>
    <t xml:space="preserve">Craft/trade</t>
  </si>
  <si>
    <t xml:space="preserve">Food prep, general</t>
  </si>
  <si>
    <t xml:space="preserve">Shovels/spades</t>
  </si>
  <si>
    <t xml:space="preserve">Digging</t>
  </si>
  <si>
    <t xml:space="preserve">Hammers/mallets</t>
  </si>
  <si>
    <t xml:space="preserve">Craft</t>
  </si>
  <si>
    <t xml:space="preserve">Building</t>
  </si>
  <si>
    <t xml:space="preserve">Files/sharpening stones</t>
  </si>
  <si>
    <t xml:space="preserve">Rope/cordage</t>
  </si>
  <si>
    <t xml:space="preserve">feet</t>
  </si>
  <si>
    <t xml:space="preserve">Make/craft</t>
  </si>
  <si>
    <t xml:space="preserve">Critical supply</t>
  </si>
  <si>
    <t xml:space="preserve">Nails/fasteners</t>
  </si>
  <si>
    <t xml:space="preserve">Trade/purchase</t>
  </si>
  <si>
    <t xml:space="preserve">Fishing hooks</t>
  </si>
  <si>
    <t xml:space="preserve">Nets</t>
  </si>
  <si>
    <t xml:space="preserve">Fishing and hunting</t>
  </si>
  <si>
    <t xml:space="preserve">Antiseptic/disinfectant</t>
  </si>
  <si>
    <t xml:space="preserve">Medical</t>
  </si>
  <si>
    <t xml:space="preserve">oz</t>
  </si>
  <si>
    <t xml:space="preserve">Harvest/purchase</t>
  </si>
  <si>
    <t xml:space="preserve">Wound care</t>
  </si>
  <si>
    <t xml:space="preserve">Bandages/cloth</t>
  </si>
  <si>
    <t xml:space="preserve">yards</t>
  </si>
  <si>
    <t xml:space="preserve">Wound dressing</t>
  </si>
  <si>
    <t xml:space="preserve">Herbal medicine (dried)</t>
  </si>
  <si>
    <t xml:space="preserve">Healing</t>
  </si>
  <si>
    <t xml:space="preserve">Honey (medicinal)</t>
  </si>
  <si>
    <t xml:space="preserve">Harvest/bees</t>
  </si>
  <si>
    <t xml:space="preserve">Antibacterial</t>
  </si>
  <si>
    <t xml:space="preserve">Willow bark</t>
  </si>
  <si>
    <t xml:space="preserve">Pain relief</t>
  </si>
  <si>
    <t xml:space="preserve">Blankets</t>
  </si>
  <si>
    <t xml:space="preserve">Clothing</t>
  </si>
  <si>
    <t xml:space="preserve">Trade/craft</t>
  </si>
  <si>
    <t xml:space="preserve">Warmth</t>
  </si>
  <si>
    <t xml:space="preserve">Clothing (sets)</t>
  </si>
  <si>
    <t xml:space="preserve">sets</t>
  </si>
  <si>
    <t xml:space="preserve">All seasons</t>
  </si>
  <si>
    <t xml:space="preserve">Leather</t>
  </si>
  <si>
    <t xml:space="preserve">sq ft</t>
  </si>
  <si>
    <t xml:space="preserve">Goods making</t>
  </si>
  <si>
    <t xml:space="preserve">Cloth/fabric</t>
  </si>
  <si>
    <t xml:space="preserve">Make/trade</t>
  </si>
  <si>
    <t xml:space="preserve">Clothing and goods</t>
  </si>
  <si>
    <t xml:space="preserve">Firewood</t>
  </si>
  <si>
    <t xml:space="preserve">Fire</t>
  </si>
  <si>
    <t xml:space="preserve">cords</t>
  </si>
  <si>
    <t xml:space="preserve">Harvest/cut</t>
  </si>
  <si>
    <t xml:space="preserve">Fuel</t>
  </si>
  <si>
    <t xml:space="preserve">Matches/flint</t>
  </si>
  <si>
    <t xml:space="preserve">boxes</t>
  </si>
  <si>
    <t xml:space="preserve">Fire starting</t>
  </si>
  <si>
    <t xml:space="preserve">Tinder/kindling</t>
  </si>
  <si>
    <t xml:space="preserve">Collect/dry</t>
  </si>
  <si>
    <t xml:space="preserve">Charcoal</t>
  </si>
  <si>
    <t xml:space="preserve">Make/burn</t>
  </si>
  <si>
    <t xml:space="preserve">Candles</t>
  </si>
  <si>
    <t xml:space="preserve">Light</t>
  </si>
  <si>
    <t xml:space="preserve">Soap</t>
  </si>
  <si>
    <t xml:space="preserve">Hygiene</t>
  </si>
  <si>
    <t xml:space="preserve">bars</t>
  </si>
  <si>
    <t xml:space="preserve">Cleaning</t>
  </si>
  <si>
    <t xml:space="preserve">Ash (for lye)</t>
  </si>
  <si>
    <t xml:space="preserve">Make</t>
  </si>
  <si>
    <t xml:space="preserve">Cloth for cleaning</t>
  </si>
  <si>
    <t xml:space="preserve">Cleaning supplies</t>
  </si>
  <si>
    <t xml:space="preserve">Nails</t>
  </si>
  <si>
    <t xml:space="preserve">Lumber (assorted)</t>
  </si>
  <si>
    <t xml:space="preserve">bd ft</t>
  </si>
  <si>
    <t xml:space="preserve">Building material</t>
  </si>
  <si>
    <t xml:space="preserve">Clay/mud</t>
  </si>
  <si>
    <t xml:space="preserve">Harvest/dig</t>
  </si>
  <si>
    <t xml:space="preserve">Chinking, pottery</t>
  </si>
  <si>
    <t xml:space="preserve">Stone</t>
  </si>
  <si>
    <t xml:space="preserve">Gather</t>
  </si>
  <si>
    <t xml:space="preserve">Fireplaces, walls</t>
  </si>
  <si>
    <t xml:space="preserve">Dried meat (jerky)</t>
  </si>
  <si>
    <t xml:space="preserve">Trade</t>
  </si>
  <si>
    <t xml:space="preserve">Make/preserve</t>
  </si>
  <si>
    <t xml:space="preserve">Valuable trade good</t>
  </si>
  <si>
    <t xml:space="preserve">Preserved fish</t>
  </si>
  <si>
    <t xml:space="preserve">Trade item</t>
  </si>
  <si>
    <t xml:space="preserve">Metal goods</t>
  </si>
  <si>
    <t xml:space="preserve">Tools, weapons</t>
  </si>
  <si>
    <t xml:space="preserve">Textiles (finished)</t>
  </si>
  <si>
    <t xml:space="preserve">Cloth goods</t>
  </si>
  <si>
    <t xml:space="preserve">Storage containers</t>
  </si>
  <si>
    <t xml:space="preserve">Seeds (vegetable)</t>
  </si>
  <si>
    <t xml:space="preserve">Seeds</t>
  </si>
  <si>
    <t xml:space="preserve">packets</t>
  </si>
  <si>
    <t xml:space="preserve">Save/trade</t>
  </si>
  <si>
    <t xml:space="preserve">Future crops</t>
  </si>
  <si>
    <t xml:space="preserve">Seeds (grain)</t>
  </si>
  <si>
    <t xml:space="preserve">Staple crops</t>
  </si>
  <si>
    <t xml:space="preserve">Chickens</t>
  </si>
  <si>
    <t xml:space="preserve">Livestock</t>
  </si>
  <si>
    <t xml:space="preserve">Trade/breed</t>
  </si>
  <si>
    <t xml:space="preserve">Eggs, meat</t>
  </si>
  <si>
    <t xml:space="preserve">Rabbits</t>
  </si>
  <si>
    <t xml:space="preserve">Meat, pelts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</si>
</sst>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3300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n">
        <v>2000</v>
      </c>
      <c r="F2" s="2" t="n">
        <v>4</v>
      </c>
      <c r="G2" s="2" t="n">
        <v>8</v>
      </c>
      <c r="H2" s="2" t="s">
        <v>11</v>
      </c>
    </row>
    <row r="3" customFormat="false" ht="15" hidden="false" customHeight="false" outlineLevel="0" collapsed="false">
      <c r="A3" s="3" t="n">
        <v>2</v>
      </c>
      <c r="B3" s="3" t="s">
        <v>12</v>
      </c>
      <c r="C3" s="3" t="s">
        <v>13</v>
      </c>
      <c r="D3" s="3" t="s">
        <v>14</v>
      </c>
      <c r="E3" s="3" t="n">
        <v>2100</v>
      </c>
      <c r="F3" s="3" t="n">
        <v>4</v>
      </c>
      <c r="G3" s="3" t="n">
        <v>8</v>
      </c>
      <c r="H3" s="3" t="s">
        <v>15</v>
      </c>
    </row>
    <row r="4" customFormat="false" ht="15" hidden="false" customHeight="false" outlineLevel="0" collapsed="false">
      <c r="A4" s="2" t="n">
        <v>3</v>
      </c>
      <c r="B4" s="2" t="s">
        <v>16</v>
      </c>
      <c r="C4" s="2" t="s">
        <v>17</v>
      </c>
      <c r="D4" s="2" t="s">
        <v>18</v>
      </c>
      <c r="E4" s="2" t="n">
        <v>2200</v>
      </c>
      <c r="F4" s="2" t="n">
        <v>4</v>
      </c>
      <c r="G4" s="2" t="n">
        <v>7</v>
      </c>
      <c r="H4" s="2" t="s">
        <v>19</v>
      </c>
    </row>
    <row r="5" customFormat="false" ht="15" hidden="false" customHeight="false" outlineLevel="0" collapsed="false">
      <c r="A5" s="3" t="n">
        <v>4</v>
      </c>
      <c r="B5" s="3" t="s">
        <v>20</v>
      </c>
      <c r="C5" s="3" t="s">
        <v>21</v>
      </c>
      <c r="D5" s="3" t="s">
        <v>22</v>
      </c>
      <c r="E5" s="3" t="n">
        <v>2300</v>
      </c>
      <c r="F5" s="3" t="n">
        <v>4</v>
      </c>
      <c r="G5" s="3" t="n">
        <v>8</v>
      </c>
      <c r="H5" s="3" t="s">
        <v>23</v>
      </c>
    </row>
    <row r="6" customFormat="false" ht="15" hidden="false" customHeight="false" outlineLevel="0" collapsed="false">
      <c r="A6" s="2" t="n">
        <v>5</v>
      </c>
      <c r="B6" s="2" t="s">
        <v>24</v>
      </c>
      <c r="C6" s="2" t="s">
        <v>13</v>
      </c>
      <c r="D6" s="2" t="s">
        <v>25</v>
      </c>
      <c r="E6" s="2" t="n">
        <v>2200</v>
      </c>
      <c r="F6" s="2" t="n">
        <v>4</v>
      </c>
      <c r="G6" s="2" t="n">
        <v>8</v>
      </c>
      <c r="H6" s="2" t="s">
        <v>26</v>
      </c>
    </row>
    <row r="7" customFormat="false" ht="15" hidden="false" customHeight="false" outlineLevel="0" collapsed="false">
      <c r="A7" s="3" t="n">
        <v>6</v>
      </c>
      <c r="B7" s="3" t="s">
        <v>27</v>
      </c>
      <c r="C7" s="3" t="s">
        <v>28</v>
      </c>
      <c r="D7" s="3" t="s">
        <v>29</v>
      </c>
      <c r="E7" s="3" t="n">
        <v>2100</v>
      </c>
      <c r="F7" s="3" t="n">
        <v>3</v>
      </c>
      <c r="G7" s="3" t="n">
        <v>6</v>
      </c>
      <c r="H7" s="3" t="s">
        <v>30</v>
      </c>
    </row>
    <row r="8" customFormat="false" ht="15" hidden="false" customHeight="false" outlineLevel="0" collapsed="false">
      <c r="A8" s="2" t="n">
        <v>7</v>
      </c>
      <c r="B8" s="2" t="s">
        <v>31</v>
      </c>
      <c r="C8" s="2" t="s">
        <v>32</v>
      </c>
      <c r="D8" s="2" t="s">
        <v>33</v>
      </c>
      <c r="E8" s="2" t="n">
        <v>2000</v>
      </c>
      <c r="F8" s="2" t="n">
        <v>4</v>
      </c>
      <c r="G8" s="2" t="n">
        <v>6</v>
      </c>
      <c r="H8" s="2" t="s">
        <v>34</v>
      </c>
    </row>
    <row r="9" customFormat="false" ht="15" hidden="false" customHeight="false" outlineLevel="0" collapsed="false">
      <c r="A9" s="3" t="n">
        <v>8</v>
      </c>
      <c r="B9" s="3" t="s">
        <v>35</v>
      </c>
      <c r="C9" s="3" t="s">
        <v>36</v>
      </c>
      <c r="D9" s="3" t="s">
        <v>37</v>
      </c>
      <c r="E9" s="3" t="n">
        <v>2100</v>
      </c>
      <c r="F9" s="3" t="n">
        <v>4</v>
      </c>
      <c r="G9" s="3" t="n">
        <v>6</v>
      </c>
      <c r="H9" s="3" t="s">
        <v>38</v>
      </c>
    </row>
    <row r="10" customFormat="false" ht="15" hidden="false" customHeight="false" outlineLevel="0" collapsed="false">
      <c r="A10" s="2" t="n">
        <v>9</v>
      </c>
      <c r="B10" s="2" t="s">
        <v>39</v>
      </c>
      <c r="C10" s="2" t="s">
        <v>40</v>
      </c>
      <c r="D10" s="2" t="s">
        <v>41</v>
      </c>
      <c r="E10" s="2" t="n">
        <v>2200</v>
      </c>
      <c r="F10" s="2" t="n">
        <v>4</v>
      </c>
      <c r="G10" s="2" t="n">
        <v>7</v>
      </c>
      <c r="H10" s="2" t="s">
        <v>42</v>
      </c>
    </row>
    <row r="11" customFormat="false" ht="15" hidden="false" customHeight="false" outlineLevel="0" collapsed="false">
      <c r="A11" s="3" t="n">
        <v>10</v>
      </c>
      <c r="B11" s="3" t="s">
        <v>43</v>
      </c>
      <c r="C11" s="3" t="s">
        <v>44</v>
      </c>
      <c r="D11" s="3" t="s">
        <v>45</v>
      </c>
      <c r="E11" s="3" t="n">
        <v>2300</v>
      </c>
      <c r="F11" s="3" t="n">
        <v>4</v>
      </c>
      <c r="G11" s="3" t="n">
        <v>8</v>
      </c>
      <c r="H11" s="3" t="s">
        <v>46</v>
      </c>
    </row>
    <row r="12" customFormat="false" ht="23.85" hidden="false" customHeight="false" outlineLevel="0" collapsed="false">
      <c r="A12" s="2" t="n">
        <v>11</v>
      </c>
      <c r="B12" s="2" t="s">
        <v>47</v>
      </c>
      <c r="C12" s="2" t="s">
        <v>36</v>
      </c>
      <c r="D12" s="2" t="s">
        <v>48</v>
      </c>
      <c r="E12" s="2" t="n">
        <v>2100</v>
      </c>
      <c r="F12" s="2" t="n">
        <v>4</v>
      </c>
      <c r="G12" s="2" t="n">
        <v>5</v>
      </c>
      <c r="H12" s="2" t="s">
        <v>49</v>
      </c>
    </row>
    <row r="13" customFormat="false" ht="15" hidden="false" customHeight="false" outlineLevel="0" collapsed="false">
      <c r="A13" s="3" t="n">
        <v>12</v>
      </c>
      <c r="B13" s="3" t="s">
        <v>50</v>
      </c>
      <c r="C13" s="3" t="s">
        <v>40</v>
      </c>
      <c r="D13" s="3" t="s">
        <v>51</v>
      </c>
      <c r="E13" s="3" t="n">
        <v>2200</v>
      </c>
      <c r="F13" s="3" t="n">
        <v>4</v>
      </c>
      <c r="G13" s="3" t="n">
        <v>8</v>
      </c>
      <c r="H13" s="3" t="s">
        <v>52</v>
      </c>
    </row>
    <row r="14" customFormat="false" ht="15" hidden="false" customHeight="false" outlineLevel="0" collapsed="false">
      <c r="A14" s="2" t="n">
        <v>13</v>
      </c>
      <c r="B14" s="2" t="s">
        <v>53</v>
      </c>
      <c r="C14" s="2" t="s">
        <v>44</v>
      </c>
      <c r="D14" s="2" t="s">
        <v>54</v>
      </c>
      <c r="E14" s="2" t="n">
        <v>2200</v>
      </c>
      <c r="F14" s="2" t="n">
        <v>4</v>
      </c>
      <c r="G14" s="2" t="n">
        <v>7</v>
      </c>
      <c r="H14" s="2" t="s">
        <v>55</v>
      </c>
    </row>
    <row r="15" customFormat="false" ht="15" hidden="false" customHeight="false" outlineLevel="0" collapsed="false">
      <c r="A15" s="3" t="n">
        <v>14</v>
      </c>
      <c r="B15" s="3" t="s">
        <v>56</v>
      </c>
      <c r="C15" s="3" t="s">
        <v>57</v>
      </c>
      <c r="D15" s="3" t="s">
        <v>58</v>
      </c>
      <c r="E15" s="3" t="n">
        <v>2100</v>
      </c>
      <c r="F15" s="3" t="n">
        <v>4</v>
      </c>
      <c r="G15" s="3" t="n">
        <v>6</v>
      </c>
      <c r="H15" s="3" t="s">
        <v>59</v>
      </c>
    </row>
    <row r="16" customFormat="false" ht="15" hidden="false" customHeight="false" outlineLevel="0" collapsed="false">
      <c r="A16" s="2" t="n">
        <v>15</v>
      </c>
      <c r="B16" s="2" t="s">
        <v>60</v>
      </c>
      <c r="C16" s="2" t="s">
        <v>57</v>
      </c>
      <c r="D16" s="2" t="s">
        <v>61</v>
      </c>
      <c r="E16" s="2" t="n">
        <v>2200</v>
      </c>
      <c r="F16" s="2" t="n">
        <v>4</v>
      </c>
      <c r="G16" s="2" t="n">
        <v>7</v>
      </c>
      <c r="H16" s="2" t="s">
        <v>62</v>
      </c>
    </row>
    <row r="17" customFormat="false" ht="15" hidden="false" customHeight="false" outlineLevel="0" collapsed="false">
      <c r="A17" s="3" t="n">
        <v>16</v>
      </c>
      <c r="B17" s="3" t="s">
        <v>63</v>
      </c>
      <c r="C17" s="3" t="s">
        <v>36</v>
      </c>
      <c r="D17" s="3" t="s">
        <v>64</v>
      </c>
      <c r="E17" s="3" t="n">
        <v>2300</v>
      </c>
      <c r="F17" s="3" t="n">
        <v>4</v>
      </c>
      <c r="G17" s="3" t="n">
        <v>8</v>
      </c>
      <c r="H17" s="3" t="s">
        <v>65</v>
      </c>
    </row>
    <row r="18" customFormat="false" ht="15" hidden="false" customHeight="false" outlineLevel="0" collapsed="false">
      <c r="A18" s="2" t="n">
        <v>17</v>
      </c>
      <c r="B18" s="2" t="s">
        <v>66</v>
      </c>
      <c r="C18" s="2" t="s">
        <v>67</v>
      </c>
      <c r="D18" s="2" t="s">
        <v>68</v>
      </c>
      <c r="E18" s="2" t="n">
        <v>2400</v>
      </c>
      <c r="F18" s="2" t="n">
        <v>4</v>
      </c>
      <c r="G18" s="2" t="n">
        <v>8</v>
      </c>
      <c r="H18" s="2" t="s">
        <v>69</v>
      </c>
    </row>
    <row r="19" customFormat="false" ht="15" hidden="false" customHeight="false" outlineLevel="0" collapsed="false">
      <c r="A19" s="3" t="n">
        <v>18</v>
      </c>
      <c r="B19" s="3" t="s">
        <v>70</v>
      </c>
      <c r="C19" s="3" t="s">
        <v>57</v>
      </c>
      <c r="D19" s="3" t="s">
        <v>71</v>
      </c>
      <c r="E19" s="3" t="n">
        <v>2200</v>
      </c>
      <c r="F19" s="3" t="n">
        <v>4</v>
      </c>
      <c r="G19" s="3" t="n">
        <v>7</v>
      </c>
      <c r="H19" s="3" t="s">
        <v>72</v>
      </c>
    </row>
    <row r="20" customFormat="false" ht="15" hidden="false" customHeight="false" outlineLevel="0" collapsed="false">
      <c r="A20" s="2" t="n">
        <v>19</v>
      </c>
      <c r="B20" s="2" t="s">
        <v>73</v>
      </c>
      <c r="C20" s="2" t="s">
        <v>57</v>
      </c>
      <c r="D20" s="2" t="s">
        <v>71</v>
      </c>
      <c r="E20" s="2" t="n">
        <v>2200</v>
      </c>
      <c r="F20" s="2" t="n">
        <v>4</v>
      </c>
      <c r="G20" s="2" t="n">
        <v>7</v>
      </c>
      <c r="H20" s="2" t="s">
        <v>74</v>
      </c>
    </row>
    <row r="21" customFormat="false" ht="15" hidden="false" customHeight="false" outlineLevel="0" collapsed="false">
      <c r="A21" s="3" t="n">
        <v>20</v>
      </c>
      <c r="B21" s="3" t="s">
        <v>75</v>
      </c>
      <c r="C21" s="3" t="s">
        <v>36</v>
      </c>
      <c r="D21" s="3" t="s">
        <v>76</v>
      </c>
      <c r="E21" s="3" t="n">
        <v>2100</v>
      </c>
      <c r="F21" s="3" t="n">
        <v>4</v>
      </c>
      <c r="G21" s="3" t="n">
        <v>6</v>
      </c>
      <c r="H21" s="3" t="s">
        <v>77</v>
      </c>
    </row>
    <row r="22" customFormat="false" ht="15" hidden="false" customHeight="false" outlineLevel="0" collapsed="false">
      <c r="A22" s="2" t="n">
        <v>21</v>
      </c>
      <c r="B22" s="2" t="s">
        <v>78</v>
      </c>
      <c r="C22" s="2" t="s">
        <v>79</v>
      </c>
      <c r="D22" s="2" t="s">
        <v>80</v>
      </c>
      <c r="E22" s="2" t="n">
        <v>2000</v>
      </c>
      <c r="F22" s="2" t="n">
        <v>3</v>
      </c>
      <c r="G22" s="2" t="n">
        <v>4</v>
      </c>
      <c r="H22" s="2" t="s">
        <v>81</v>
      </c>
    </row>
    <row r="23" customFormat="false" ht="15" hidden="false" customHeight="false" outlineLevel="0" collapsed="false">
      <c r="A23" s="3" t="n">
        <v>22</v>
      </c>
      <c r="B23" s="3" t="s">
        <v>82</v>
      </c>
      <c r="C23" s="3" t="s">
        <v>83</v>
      </c>
      <c r="D23" s="3" t="s">
        <v>84</v>
      </c>
      <c r="E23" s="3" t="n">
        <v>2200</v>
      </c>
      <c r="F23" s="3" t="n">
        <v>4</v>
      </c>
      <c r="G23" s="3" t="n">
        <v>8</v>
      </c>
      <c r="H23" s="3" t="s">
        <v>85</v>
      </c>
    </row>
    <row r="24" customFormat="false" ht="15" hidden="false" customHeight="false" outlineLevel="0" collapsed="false">
      <c r="A24" s="2" t="n">
        <v>23</v>
      </c>
      <c r="B24" s="2" t="s">
        <v>86</v>
      </c>
      <c r="C24" s="2" t="s">
        <v>13</v>
      </c>
      <c r="D24" s="2" t="s">
        <v>87</v>
      </c>
      <c r="E24" s="2" t="n">
        <v>2200</v>
      </c>
      <c r="F24" s="2" t="n">
        <v>4</v>
      </c>
      <c r="G24" s="2" t="n">
        <v>8</v>
      </c>
      <c r="H24" s="2" t="s">
        <v>88</v>
      </c>
    </row>
    <row r="25" customFormat="false" ht="15" hidden="false" customHeight="false" outlineLevel="0" collapsed="false">
      <c r="A25" s="3" t="n">
        <v>24</v>
      </c>
      <c r="B25" s="3" t="s">
        <v>89</v>
      </c>
      <c r="C25" s="3" t="s">
        <v>90</v>
      </c>
      <c r="D25" s="3" t="s">
        <v>91</v>
      </c>
      <c r="E25" s="3" t="n">
        <v>2100</v>
      </c>
      <c r="F25" s="3" t="n">
        <v>4</v>
      </c>
      <c r="G25" s="3" t="n">
        <v>7</v>
      </c>
      <c r="H25" s="3" t="s">
        <v>92</v>
      </c>
    </row>
    <row r="26" customFormat="false" ht="15" hidden="false" customHeight="false" outlineLevel="0" collapsed="false">
      <c r="A26" s="2" t="n">
        <v>25</v>
      </c>
      <c r="B26" s="2" t="s">
        <v>93</v>
      </c>
      <c r="C26" s="2" t="s">
        <v>83</v>
      </c>
      <c r="D26" s="2" t="s">
        <v>94</v>
      </c>
      <c r="E26" s="2" t="n">
        <v>2100</v>
      </c>
      <c r="F26" s="2" t="n">
        <v>4</v>
      </c>
      <c r="G26" s="2" t="n">
        <v>6</v>
      </c>
      <c r="H26" s="2" t="s">
        <v>95</v>
      </c>
    </row>
    <row r="27" customFormat="false" ht="15" hidden="false" customHeight="false" outlineLevel="0" collapsed="false">
      <c r="A27" s="3" t="n">
        <v>26</v>
      </c>
      <c r="B27" s="3" t="s">
        <v>96</v>
      </c>
      <c r="C27" s="3" t="s">
        <v>83</v>
      </c>
      <c r="D27" s="3" t="s">
        <v>97</v>
      </c>
      <c r="E27" s="3" t="n">
        <v>2200</v>
      </c>
      <c r="F27" s="3" t="n">
        <v>4</v>
      </c>
      <c r="G27" s="3" t="n">
        <v>8</v>
      </c>
      <c r="H27" s="3" t="s">
        <v>98</v>
      </c>
    </row>
    <row r="28" customFormat="false" ht="15" hidden="false" customHeight="false" outlineLevel="0" collapsed="false">
      <c r="A28" s="2" t="n">
        <v>27</v>
      </c>
      <c r="B28" s="2" t="s">
        <v>99</v>
      </c>
      <c r="C28" s="2" t="s">
        <v>100</v>
      </c>
      <c r="D28" s="2" t="s">
        <v>101</v>
      </c>
      <c r="E28" s="2" t="n">
        <v>2300</v>
      </c>
      <c r="F28" s="2" t="n">
        <v>4</v>
      </c>
      <c r="G28" s="2" t="n">
        <v>8</v>
      </c>
      <c r="H28" s="2" t="s">
        <v>102</v>
      </c>
    </row>
    <row r="29" customFormat="false" ht="15" hidden="false" customHeight="false" outlineLevel="0" collapsed="false">
      <c r="A29" s="3" t="n">
        <v>28</v>
      </c>
      <c r="B29" s="3" t="s">
        <v>103</v>
      </c>
      <c r="C29" s="3" t="s">
        <v>79</v>
      </c>
      <c r="D29" s="3" t="s">
        <v>104</v>
      </c>
      <c r="E29" s="3" t="n">
        <v>2000</v>
      </c>
      <c r="F29" s="3" t="n">
        <v>3</v>
      </c>
      <c r="G29" s="3" t="n">
        <v>4</v>
      </c>
      <c r="H29" s="3" t="s">
        <v>105</v>
      </c>
    </row>
    <row r="30" customFormat="false" ht="15" hidden="false" customHeight="false" outlineLevel="0" collapsed="false">
      <c r="A30" s="2" t="n">
        <v>29</v>
      </c>
      <c r="B30" s="2" t="s">
        <v>106</v>
      </c>
      <c r="C30" s="2" t="s">
        <v>107</v>
      </c>
      <c r="D30" s="2" t="s">
        <v>108</v>
      </c>
      <c r="E30" s="2" t="n">
        <v>2400</v>
      </c>
      <c r="F30" s="2" t="n">
        <v>4</v>
      </c>
      <c r="G30" s="2" t="n">
        <v>8</v>
      </c>
      <c r="H30" s="2" t="s">
        <v>109</v>
      </c>
    </row>
    <row r="31" customFormat="false" ht="15" hidden="false" customHeight="false" outlineLevel="0" collapsed="false">
      <c r="A31" s="3" t="n">
        <v>30</v>
      </c>
      <c r="B31" s="3" t="s">
        <v>110</v>
      </c>
      <c r="C31" s="3" t="s">
        <v>111</v>
      </c>
      <c r="D31" s="3" t="s">
        <v>112</v>
      </c>
      <c r="E31" s="3" t="n">
        <v>2500</v>
      </c>
      <c r="F31" s="3" t="n">
        <v>4</v>
      </c>
      <c r="G31" s="3" t="n">
        <v>8</v>
      </c>
      <c r="H31" s="3" t="s">
        <v>113</v>
      </c>
    </row>
    <row r="32" customFormat="false" ht="15" hidden="false" customHeight="false" outlineLevel="0" collapsed="false">
      <c r="A32" s="2" t="n">
        <v>31</v>
      </c>
      <c r="B32" s="2" t="s">
        <v>114</v>
      </c>
      <c r="C32" s="2" t="s">
        <v>107</v>
      </c>
      <c r="D32" s="2" t="s">
        <v>115</v>
      </c>
      <c r="E32" s="2" t="n">
        <v>2400</v>
      </c>
      <c r="F32" s="2" t="n">
        <v>4</v>
      </c>
      <c r="G32" s="2" t="n">
        <v>8</v>
      </c>
      <c r="H32" s="2" t="s">
        <v>116</v>
      </c>
    </row>
    <row r="33" customFormat="false" ht="15" hidden="false" customHeight="false" outlineLevel="0" collapsed="false">
      <c r="A33" s="3" t="n">
        <v>32</v>
      </c>
      <c r="B33" s="3" t="s">
        <v>117</v>
      </c>
      <c r="C33" s="3" t="s">
        <v>107</v>
      </c>
      <c r="D33" s="3" t="s">
        <v>118</v>
      </c>
      <c r="E33" s="3" t="n">
        <v>2500</v>
      </c>
      <c r="F33" s="3" t="n">
        <v>4</v>
      </c>
      <c r="G33" s="3" t="n">
        <v>8</v>
      </c>
      <c r="H33" s="3" t="s">
        <v>119</v>
      </c>
    </row>
    <row r="34" customFormat="false" ht="15" hidden="false" customHeight="false" outlineLevel="0" collapsed="false">
      <c r="A34" s="2" t="n">
        <v>33</v>
      </c>
      <c r="B34" s="2" t="s">
        <v>120</v>
      </c>
      <c r="C34" s="2" t="s">
        <v>107</v>
      </c>
      <c r="D34" s="2" t="s">
        <v>121</v>
      </c>
      <c r="E34" s="2" t="n">
        <v>2400</v>
      </c>
      <c r="F34" s="2" t="n">
        <v>4</v>
      </c>
      <c r="G34" s="2" t="n">
        <v>8</v>
      </c>
      <c r="H34" s="2" t="s">
        <v>122</v>
      </c>
    </row>
    <row r="35" customFormat="false" ht="15" hidden="false" customHeight="false" outlineLevel="0" collapsed="false">
      <c r="A35" s="3" t="n">
        <v>34</v>
      </c>
      <c r="B35" s="3" t="s">
        <v>123</v>
      </c>
      <c r="C35" s="3" t="s">
        <v>107</v>
      </c>
      <c r="D35" s="3" t="s">
        <v>124</v>
      </c>
      <c r="E35" s="3" t="n">
        <v>2300</v>
      </c>
      <c r="F35" s="3" t="n">
        <v>4</v>
      </c>
      <c r="G35" s="3" t="n">
        <v>8</v>
      </c>
      <c r="H35" s="3" t="s">
        <v>125</v>
      </c>
    </row>
    <row r="36" customFormat="false" ht="15" hidden="false" customHeight="false" outlineLevel="0" collapsed="false">
      <c r="A36" s="2" t="n">
        <v>35</v>
      </c>
      <c r="B36" s="2" t="s">
        <v>126</v>
      </c>
      <c r="C36" s="2" t="s">
        <v>32</v>
      </c>
      <c r="D36" s="2" t="s">
        <v>127</v>
      </c>
      <c r="E36" s="2" t="n">
        <v>2200</v>
      </c>
      <c r="F36" s="2" t="n">
        <v>4</v>
      </c>
      <c r="G36" s="2" t="n">
        <v>6</v>
      </c>
      <c r="H36" s="2" t="s">
        <v>128</v>
      </c>
    </row>
    <row r="37" customFormat="false" ht="15" hidden="false" customHeight="false" outlineLevel="0" collapsed="false">
      <c r="A37" s="3" t="n">
        <v>36</v>
      </c>
      <c r="B37" s="3" t="s">
        <v>129</v>
      </c>
      <c r="C37" s="3" t="s">
        <v>107</v>
      </c>
      <c r="D37" s="3" t="s">
        <v>130</v>
      </c>
      <c r="E37" s="3" t="n">
        <v>2200</v>
      </c>
      <c r="F37" s="3" t="n">
        <v>4</v>
      </c>
      <c r="G37" s="3" t="n">
        <v>6</v>
      </c>
      <c r="H37" s="3" t="s">
        <v>131</v>
      </c>
    </row>
    <row r="38" customFormat="false" ht="15" hidden="false" customHeight="false" outlineLevel="0" collapsed="false">
      <c r="A38" s="2" t="n">
        <v>37</v>
      </c>
      <c r="B38" s="2" t="s">
        <v>132</v>
      </c>
      <c r="C38" s="2" t="s">
        <v>57</v>
      </c>
      <c r="D38" s="2" t="s">
        <v>133</v>
      </c>
      <c r="E38" s="2" t="n">
        <v>2300</v>
      </c>
      <c r="F38" s="2" t="n">
        <v>4</v>
      </c>
      <c r="G38" s="2" t="n">
        <v>8</v>
      </c>
      <c r="H38" s="2" t="s">
        <v>134</v>
      </c>
    </row>
    <row r="39" customFormat="false" ht="15" hidden="false" customHeight="false" outlineLevel="0" collapsed="false">
      <c r="A39" s="3" t="n">
        <v>38</v>
      </c>
      <c r="B39" s="3" t="s">
        <v>135</v>
      </c>
      <c r="C39" s="3" t="s">
        <v>100</v>
      </c>
      <c r="D39" s="3" t="s">
        <v>136</v>
      </c>
      <c r="E39" s="3" t="n">
        <v>2400</v>
      </c>
      <c r="F39" s="3" t="n">
        <v>4</v>
      </c>
      <c r="G39" s="3" t="n">
        <v>8</v>
      </c>
      <c r="H39" s="3" t="s">
        <v>137</v>
      </c>
    </row>
    <row r="40" customFormat="false" ht="15" hidden="false" customHeight="false" outlineLevel="0" collapsed="false">
      <c r="A40" s="2" t="n">
        <v>39</v>
      </c>
      <c r="B40" s="2" t="s">
        <v>138</v>
      </c>
      <c r="C40" s="2" t="s">
        <v>36</v>
      </c>
      <c r="D40" s="2" t="s">
        <v>139</v>
      </c>
      <c r="E40" s="2" t="n">
        <v>2200</v>
      </c>
      <c r="F40" s="2" t="n">
        <v>4</v>
      </c>
      <c r="G40" s="2" t="n">
        <v>7</v>
      </c>
      <c r="H40" s="2" t="s">
        <v>140</v>
      </c>
    </row>
    <row r="41" customFormat="false" ht="15" hidden="false" customHeight="false" outlineLevel="0" collapsed="false">
      <c r="A41" s="3" t="n">
        <v>40</v>
      </c>
      <c r="B41" s="3" t="s">
        <v>141</v>
      </c>
      <c r="C41" s="3" t="s">
        <v>83</v>
      </c>
      <c r="D41" s="3" t="s">
        <v>142</v>
      </c>
      <c r="E41" s="3" t="n">
        <v>2400</v>
      </c>
      <c r="F41" s="3" t="n">
        <v>4</v>
      </c>
      <c r="G41" s="3" t="n">
        <v>8</v>
      </c>
      <c r="H41" s="3" t="s">
        <v>143</v>
      </c>
    </row>
    <row r="42" customFormat="false" ht="15" hidden="false" customHeight="false" outlineLevel="0" collapsed="false">
      <c r="A42" s="2" t="n">
        <v>41</v>
      </c>
      <c r="B42" s="2" t="s">
        <v>144</v>
      </c>
      <c r="C42" s="2" t="s">
        <v>145</v>
      </c>
      <c r="D42" s="2" t="s">
        <v>146</v>
      </c>
      <c r="E42" s="2" t="n">
        <v>2200</v>
      </c>
      <c r="F42" s="2" t="n">
        <v>4</v>
      </c>
      <c r="G42" s="2" t="n">
        <v>6</v>
      </c>
      <c r="H42" s="2" t="s">
        <v>147</v>
      </c>
    </row>
    <row r="43" customFormat="false" ht="15" hidden="false" customHeight="false" outlineLevel="0" collapsed="false">
      <c r="A43" s="3" t="n">
        <v>42</v>
      </c>
      <c r="B43" s="3" t="s">
        <v>78</v>
      </c>
      <c r="C43" s="3" t="s">
        <v>79</v>
      </c>
      <c r="D43" s="3" t="s">
        <v>148</v>
      </c>
      <c r="E43" s="3" t="n">
        <v>2000</v>
      </c>
      <c r="F43" s="3" t="n">
        <v>3</v>
      </c>
      <c r="G43" s="3" t="n">
        <v>4</v>
      </c>
      <c r="H43" s="3" t="s">
        <v>149</v>
      </c>
    </row>
    <row r="44" customFormat="false" ht="15" hidden="false" customHeight="false" outlineLevel="0" collapsed="false">
      <c r="A44" s="2" t="n">
        <v>43</v>
      </c>
      <c r="B44" s="2" t="s">
        <v>150</v>
      </c>
      <c r="C44" s="2" t="s">
        <v>90</v>
      </c>
      <c r="D44" s="2" t="s">
        <v>151</v>
      </c>
      <c r="E44" s="2" t="n">
        <v>2200</v>
      </c>
      <c r="F44" s="2" t="n">
        <v>4</v>
      </c>
      <c r="G44" s="2" t="n">
        <v>7</v>
      </c>
      <c r="H44" s="2" t="s">
        <v>152</v>
      </c>
    </row>
    <row r="45" customFormat="false" ht="15" hidden="false" customHeight="false" outlineLevel="0" collapsed="false">
      <c r="A45" s="3" t="n">
        <v>44</v>
      </c>
      <c r="B45" s="3" t="s">
        <v>153</v>
      </c>
      <c r="C45" s="3" t="s">
        <v>32</v>
      </c>
      <c r="D45" s="3" t="s">
        <v>154</v>
      </c>
      <c r="E45" s="3" t="n">
        <v>2100</v>
      </c>
      <c r="F45" s="3" t="n">
        <v>4</v>
      </c>
      <c r="G45" s="3" t="n">
        <v>6</v>
      </c>
      <c r="H45" s="3" t="s">
        <v>155</v>
      </c>
    </row>
    <row r="46" customFormat="false" ht="15" hidden="false" customHeight="false" outlineLevel="0" collapsed="false">
      <c r="A46" s="2" t="n">
        <v>45</v>
      </c>
      <c r="B46" s="2" t="s">
        <v>156</v>
      </c>
      <c r="C46" s="2" t="s">
        <v>83</v>
      </c>
      <c r="D46" s="2" t="s">
        <v>157</v>
      </c>
      <c r="E46" s="2" t="n">
        <v>2200</v>
      </c>
      <c r="F46" s="2" t="n">
        <v>4</v>
      </c>
      <c r="G46" s="2" t="n">
        <v>7</v>
      </c>
      <c r="H46" s="2" t="s">
        <v>158</v>
      </c>
    </row>
    <row r="47" customFormat="false" ht="15" hidden="false" customHeight="false" outlineLevel="0" collapsed="false">
      <c r="A47" s="3" t="n">
        <v>46</v>
      </c>
      <c r="B47" s="3" t="s">
        <v>159</v>
      </c>
      <c r="C47" s="3" t="s">
        <v>145</v>
      </c>
      <c r="D47" s="3" t="s">
        <v>160</v>
      </c>
      <c r="E47" s="3" t="n">
        <v>2100</v>
      </c>
      <c r="F47" s="3" t="n">
        <v>4</v>
      </c>
      <c r="G47" s="3" t="n">
        <v>5</v>
      </c>
      <c r="H47" s="3" t="s">
        <v>161</v>
      </c>
    </row>
    <row r="48" customFormat="false" ht="15" hidden="false" customHeight="false" outlineLevel="0" collapsed="false">
      <c r="A48" s="2" t="n">
        <v>47</v>
      </c>
      <c r="B48" s="2" t="s">
        <v>162</v>
      </c>
      <c r="C48" s="2" t="s">
        <v>163</v>
      </c>
      <c r="D48" s="2" t="s">
        <v>164</v>
      </c>
      <c r="E48" s="2" t="n">
        <v>2000</v>
      </c>
      <c r="F48" s="2" t="n">
        <v>3</v>
      </c>
      <c r="G48" s="2" t="n">
        <v>5</v>
      </c>
      <c r="H48" s="2" t="s">
        <v>165</v>
      </c>
    </row>
    <row r="49" customFormat="false" ht="15" hidden="false" customHeight="false" outlineLevel="0" collapsed="false">
      <c r="A49" s="3" t="n">
        <v>48</v>
      </c>
      <c r="B49" s="3" t="s">
        <v>166</v>
      </c>
      <c r="C49" s="3" t="s">
        <v>40</v>
      </c>
      <c r="D49" s="3" t="s">
        <v>167</v>
      </c>
      <c r="E49" s="3" t="n">
        <v>2300</v>
      </c>
      <c r="F49" s="3" t="n">
        <v>4</v>
      </c>
      <c r="G49" s="3" t="n">
        <v>8</v>
      </c>
      <c r="H49" s="3" t="s">
        <v>168</v>
      </c>
    </row>
    <row r="50" customFormat="false" ht="15" hidden="false" customHeight="false" outlineLevel="0" collapsed="false">
      <c r="A50" s="2" t="n">
        <v>49</v>
      </c>
      <c r="B50" s="2" t="s">
        <v>169</v>
      </c>
      <c r="C50" s="2" t="s">
        <v>44</v>
      </c>
      <c r="D50" s="2" t="s">
        <v>170</v>
      </c>
      <c r="E50" s="2" t="n">
        <v>2200</v>
      </c>
      <c r="F50" s="2" t="n">
        <v>4</v>
      </c>
      <c r="G50" s="2" t="n">
        <v>6</v>
      </c>
      <c r="H50" s="2" t="s">
        <v>171</v>
      </c>
    </row>
    <row r="51" customFormat="false" ht="15" hidden="false" customHeight="false" outlineLevel="0" collapsed="false">
      <c r="A51" s="3" t="n">
        <v>50</v>
      </c>
      <c r="B51" s="3" t="s">
        <v>172</v>
      </c>
      <c r="C51" s="3" t="s">
        <v>79</v>
      </c>
      <c r="D51" s="3" t="s">
        <v>173</v>
      </c>
      <c r="E51" s="3" t="n">
        <v>2000</v>
      </c>
      <c r="F51" s="3" t="n">
        <v>3</v>
      </c>
      <c r="G51" s="3" t="n">
        <v>4</v>
      </c>
      <c r="H51" s="3" t="s">
        <v>174</v>
      </c>
    </row>
    <row r="52" customFormat="false" ht="15" hidden="false" customHeight="false" outlineLevel="0" collapsed="false">
      <c r="A52" s="2" t="n">
        <v>51</v>
      </c>
      <c r="B52" s="2" t="s">
        <v>175</v>
      </c>
      <c r="C52" s="2" t="s">
        <v>90</v>
      </c>
      <c r="D52" s="2" t="s">
        <v>176</v>
      </c>
      <c r="E52" s="2" t="n">
        <v>2300</v>
      </c>
      <c r="F52" s="2" t="n">
        <v>4</v>
      </c>
      <c r="G52" s="2" t="n">
        <v>8</v>
      </c>
      <c r="H52" s="2" t="s">
        <v>177</v>
      </c>
    </row>
    <row r="53" customFormat="false" ht="15" hidden="false" customHeight="false" outlineLevel="0" collapsed="false">
      <c r="A53" s="3" t="n">
        <v>52</v>
      </c>
      <c r="B53" s="3" t="s">
        <v>178</v>
      </c>
      <c r="C53" s="3" t="s">
        <v>32</v>
      </c>
      <c r="D53" s="3" t="s">
        <v>179</v>
      </c>
      <c r="E53" s="3" t="n">
        <v>2100</v>
      </c>
      <c r="F53" s="3" t="n">
        <v>4</v>
      </c>
      <c r="G53" s="3" t="n">
        <v>6</v>
      </c>
      <c r="H53" s="3" t="s">
        <v>180</v>
      </c>
    </row>
    <row r="54" customFormat="false" ht="15" hidden="false" customHeight="false" outlineLevel="0" collapsed="false">
      <c r="A54" s="2" t="n">
        <v>53</v>
      </c>
      <c r="B54" s="2" t="s">
        <v>181</v>
      </c>
      <c r="C54" s="2" t="s">
        <v>57</v>
      </c>
      <c r="D54" s="2" t="s">
        <v>182</v>
      </c>
      <c r="E54" s="2" t="n">
        <v>2400</v>
      </c>
      <c r="F54" s="2" t="n">
        <v>4</v>
      </c>
      <c r="G54" s="2" t="n">
        <v>8</v>
      </c>
      <c r="H54" s="2" t="s">
        <v>183</v>
      </c>
    </row>
    <row r="55" customFormat="false" ht="15" hidden="false" customHeight="false" outlineLevel="0" collapsed="false">
      <c r="A55" s="3" t="n">
        <v>54</v>
      </c>
      <c r="B55" s="3" t="s">
        <v>184</v>
      </c>
      <c r="C55" s="3" t="s">
        <v>107</v>
      </c>
      <c r="D55" s="3" t="s">
        <v>185</v>
      </c>
      <c r="E55" s="3" t="n">
        <v>2300</v>
      </c>
      <c r="F55" s="3" t="n">
        <v>4</v>
      </c>
      <c r="G55" s="3" t="n">
        <v>8</v>
      </c>
      <c r="H55" s="3" t="s">
        <v>186</v>
      </c>
    </row>
    <row r="56" customFormat="false" ht="15" hidden="false" customHeight="false" outlineLevel="0" collapsed="false">
      <c r="A56" s="2" t="n">
        <v>55</v>
      </c>
      <c r="B56" s="2" t="s">
        <v>187</v>
      </c>
      <c r="C56" s="2" t="s">
        <v>100</v>
      </c>
      <c r="D56" s="2" t="s">
        <v>188</v>
      </c>
      <c r="E56" s="2" t="n">
        <v>2400</v>
      </c>
      <c r="F56" s="2" t="n">
        <v>4</v>
      </c>
      <c r="G56" s="2" t="n">
        <v>8</v>
      </c>
      <c r="H56" s="2" t="s">
        <v>189</v>
      </c>
    </row>
    <row r="57" customFormat="false" ht="15" hidden="false" customHeight="false" outlineLevel="0" collapsed="false">
      <c r="A57" s="3" t="n">
        <v>56</v>
      </c>
      <c r="B57" s="3" t="s">
        <v>190</v>
      </c>
      <c r="C57" s="3" t="s">
        <v>36</v>
      </c>
      <c r="D57" s="3" t="s">
        <v>191</v>
      </c>
      <c r="E57" s="3" t="n">
        <v>2200</v>
      </c>
      <c r="F57" s="3" t="n">
        <v>4</v>
      </c>
      <c r="G57" s="3" t="n">
        <v>7</v>
      </c>
      <c r="H57" s="3" t="s">
        <v>192</v>
      </c>
    </row>
    <row r="58" customFormat="false" ht="15" hidden="false" customHeight="false" outlineLevel="0" collapsed="false">
      <c r="A58" s="2" t="n">
        <v>57</v>
      </c>
      <c r="B58" s="2" t="s">
        <v>193</v>
      </c>
      <c r="C58" s="2" t="s">
        <v>79</v>
      </c>
      <c r="D58" s="2" t="s">
        <v>194</v>
      </c>
      <c r="E58" s="2" t="n">
        <v>2000</v>
      </c>
      <c r="F58" s="2" t="n">
        <v>3</v>
      </c>
      <c r="G58" s="2" t="n">
        <v>4</v>
      </c>
      <c r="H58" s="2" t="s">
        <v>195</v>
      </c>
    </row>
    <row r="59" customFormat="false" ht="15" hidden="false" customHeight="false" outlineLevel="0" collapsed="false">
      <c r="A59" s="3" t="n">
        <v>58</v>
      </c>
      <c r="B59" s="3" t="s">
        <v>196</v>
      </c>
      <c r="C59" s="3" t="s">
        <v>145</v>
      </c>
      <c r="D59" s="3" t="s">
        <v>197</v>
      </c>
      <c r="E59" s="3" t="n">
        <v>2100</v>
      </c>
      <c r="F59" s="3" t="n">
        <v>4</v>
      </c>
      <c r="G59" s="3" t="n">
        <v>6</v>
      </c>
      <c r="H59" s="3" t="s">
        <v>198</v>
      </c>
    </row>
    <row r="60" customFormat="false" ht="15" hidden="false" customHeight="false" outlineLevel="0" collapsed="false">
      <c r="A60" s="2" t="n">
        <v>59</v>
      </c>
      <c r="B60" s="2" t="s">
        <v>199</v>
      </c>
      <c r="C60" s="2" t="s">
        <v>163</v>
      </c>
      <c r="D60" s="2" t="s">
        <v>200</v>
      </c>
      <c r="E60" s="2" t="n">
        <v>2000</v>
      </c>
      <c r="F60" s="2" t="n">
        <v>3</v>
      </c>
      <c r="G60" s="2" t="n">
        <v>5</v>
      </c>
      <c r="H60" s="2" t="s">
        <v>201</v>
      </c>
    </row>
    <row r="61" customFormat="false" ht="15" hidden="false" customHeight="false" outlineLevel="0" collapsed="false">
      <c r="A61" s="3" t="n">
        <v>60</v>
      </c>
      <c r="B61" s="3" t="s">
        <v>202</v>
      </c>
      <c r="C61" s="3" t="s">
        <v>79</v>
      </c>
      <c r="D61" s="3" t="s">
        <v>203</v>
      </c>
      <c r="E61" s="3" t="n">
        <v>2000</v>
      </c>
      <c r="F61" s="3" t="n">
        <v>3</v>
      </c>
      <c r="G61" s="3" t="n">
        <v>4</v>
      </c>
      <c r="H61" s="3" t="s">
        <v>204</v>
      </c>
    </row>
    <row r="62" customFormat="false" ht="15" hidden="false" customHeight="false" outlineLevel="0" collapsed="false">
      <c r="A62" s="2" t="n">
        <v>61</v>
      </c>
      <c r="B62" s="2" t="s">
        <v>205</v>
      </c>
      <c r="C62" s="2" t="s">
        <v>90</v>
      </c>
      <c r="D62" s="2" t="s">
        <v>176</v>
      </c>
      <c r="E62" s="2" t="n">
        <v>2400</v>
      </c>
      <c r="F62" s="2" t="n">
        <v>4</v>
      </c>
      <c r="G62" s="2" t="n">
        <v>8</v>
      </c>
      <c r="H62" s="2" t="s">
        <v>206</v>
      </c>
    </row>
    <row r="63" customFormat="false" ht="15" hidden="false" customHeight="false" outlineLevel="0" collapsed="false">
      <c r="A63" s="3" t="n">
        <v>62</v>
      </c>
      <c r="B63" s="3" t="s">
        <v>207</v>
      </c>
      <c r="C63" s="3" t="s">
        <v>32</v>
      </c>
      <c r="D63" s="3" t="s">
        <v>208</v>
      </c>
      <c r="E63" s="3" t="n">
        <v>2200</v>
      </c>
      <c r="F63" s="3" t="n">
        <v>4</v>
      </c>
      <c r="G63" s="3" t="n">
        <v>7</v>
      </c>
      <c r="H63" s="3" t="s">
        <v>209</v>
      </c>
    </row>
    <row r="64" customFormat="false" ht="15" hidden="false" customHeight="false" outlineLevel="0" collapsed="false">
      <c r="A64" s="2" t="n">
        <v>63</v>
      </c>
      <c r="B64" s="2" t="s">
        <v>210</v>
      </c>
      <c r="C64" s="2" t="s">
        <v>32</v>
      </c>
      <c r="D64" s="2" t="s">
        <v>211</v>
      </c>
      <c r="E64" s="2" t="n">
        <v>2300</v>
      </c>
      <c r="F64" s="2" t="n">
        <v>4</v>
      </c>
      <c r="G64" s="2" t="n">
        <v>8</v>
      </c>
      <c r="H64" s="2" t="s">
        <v>212</v>
      </c>
    </row>
    <row r="65" customFormat="false" ht="15" hidden="false" customHeight="false" outlineLevel="0" collapsed="false">
      <c r="A65" s="3" t="n">
        <v>64</v>
      </c>
      <c r="B65" s="3" t="s">
        <v>213</v>
      </c>
      <c r="C65" s="3" t="s">
        <v>32</v>
      </c>
      <c r="D65" s="3" t="s">
        <v>214</v>
      </c>
      <c r="E65" s="3" t="n">
        <v>2300</v>
      </c>
      <c r="F65" s="3" t="n">
        <v>4</v>
      </c>
      <c r="G65" s="3" t="n">
        <v>8</v>
      </c>
      <c r="H65" s="3" t="s">
        <v>215</v>
      </c>
    </row>
    <row r="66" customFormat="false" ht="15" hidden="false" customHeight="false" outlineLevel="0" collapsed="false">
      <c r="A66" s="2" t="n">
        <v>65</v>
      </c>
      <c r="B66" s="2" t="s">
        <v>216</v>
      </c>
      <c r="C66" s="2" t="s">
        <v>145</v>
      </c>
      <c r="D66" s="2" t="s">
        <v>217</v>
      </c>
      <c r="E66" s="2" t="n">
        <v>2200</v>
      </c>
      <c r="F66" s="2" t="n">
        <v>4</v>
      </c>
      <c r="G66" s="2" t="n">
        <v>7</v>
      </c>
      <c r="H66" s="2" t="s">
        <v>218</v>
      </c>
    </row>
    <row r="67" customFormat="false" ht="15" hidden="false" customHeight="false" outlineLevel="0" collapsed="false">
      <c r="A67" s="3" t="n">
        <v>66</v>
      </c>
      <c r="B67" s="3" t="s">
        <v>219</v>
      </c>
      <c r="C67" s="3" t="s">
        <v>100</v>
      </c>
      <c r="D67" s="3" t="s">
        <v>188</v>
      </c>
      <c r="E67" s="3" t="n">
        <v>2400</v>
      </c>
      <c r="F67" s="3" t="n">
        <v>4</v>
      </c>
      <c r="G67" s="3" t="n">
        <v>8</v>
      </c>
      <c r="H67" s="3" t="s">
        <v>220</v>
      </c>
    </row>
    <row r="68" customFormat="false" ht="15" hidden="false" customHeight="false" outlineLevel="0" collapsed="false">
      <c r="A68" s="2" t="n">
        <v>67</v>
      </c>
      <c r="B68" s="2" t="s">
        <v>221</v>
      </c>
      <c r="C68" s="2" t="s">
        <v>36</v>
      </c>
      <c r="D68" s="2" t="s">
        <v>222</v>
      </c>
      <c r="E68" s="2" t="n">
        <v>2200</v>
      </c>
      <c r="F68" s="2" t="n">
        <v>4</v>
      </c>
      <c r="G68" s="2" t="n">
        <v>6</v>
      </c>
      <c r="H68" s="2" t="s">
        <v>223</v>
      </c>
    </row>
    <row r="69" customFormat="false" ht="15" hidden="false" customHeight="false" outlineLevel="0" collapsed="false">
      <c r="A69" s="3" t="n">
        <v>68</v>
      </c>
      <c r="B69" s="3" t="s">
        <v>224</v>
      </c>
      <c r="C69" s="3" t="s">
        <v>145</v>
      </c>
      <c r="D69" s="3" t="s">
        <v>225</v>
      </c>
      <c r="E69" s="3" t="n">
        <v>2100</v>
      </c>
      <c r="F69" s="3" t="n">
        <v>4</v>
      </c>
      <c r="G69" s="3" t="n">
        <v>6</v>
      </c>
      <c r="H69" s="3" t="s">
        <v>226</v>
      </c>
    </row>
    <row r="70" customFormat="false" ht="15" hidden="false" customHeight="false" outlineLevel="0" collapsed="false">
      <c r="A70" s="2" t="n">
        <v>69</v>
      </c>
      <c r="B70" s="2" t="s">
        <v>227</v>
      </c>
      <c r="C70" s="2" t="s">
        <v>32</v>
      </c>
      <c r="D70" s="2" t="s">
        <v>228</v>
      </c>
      <c r="E70" s="2" t="n">
        <v>2300</v>
      </c>
      <c r="F70" s="2" t="n">
        <v>4</v>
      </c>
      <c r="G70" s="2" t="n">
        <v>8</v>
      </c>
      <c r="H70" s="2" t="s">
        <v>229</v>
      </c>
    </row>
    <row r="71" customFormat="false" ht="15" hidden="false" customHeight="false" outlineLevel="0" collapsed="false">
      <c r="A71" s="3" t="n">
        <v>70</v>
      </c>
      <c r="B71" s="3" t="s">
        <v>230</v>
      </c>
      <c r="C71" s="3" t="s">
        <v>231</v>
      </c>
      <c r="D71" s="3" t="s">
        <v>232</v>
      </c>
      <c r="E71" s="3" t="n">
        <v>2000</v>
      </c>
      <c r="F71" s="3" t="n">
        <v>3</v>
      </c>
      <c r="G71" s="3" t="n">
        <v>5</v>
      </c>
      <c r="H71" s="3" t="s">
        <v>233</v>
      </c>
    </row>
    <row r="72" customFormat="false" ht="15" hidden="false" customHeight="false" outlineLevel="0" collapsed="false">
      <c r="A72" s="2" t="n">
        <v>71</v>
      </c>
      <c r="B72" s="2" t="s">
        <v>187</v>
      </c>
      <c r="C72" s="2" t="s">
        <v>100</v>
      </c>
      <c r="D72" s="2" t="s">
        <v>188</v>
      </c>
      <c r="E72" s="2" t="n">
        <v>2400</v>
      </c>
      <c r="F72" s="2" t="n">
        <v>4</v>
      </c>
      <c r="G72" s="2" t="n">
        <v>8</v>
      </c>
      <c r="H72" s="2" t="s">
        <v>234</v>
      </c>
    </row>
    <row r="73" customFormat="false" ht="15" hidden="false" customHeight="false" outlineLevel="0" collapsed="false">
      <c r="A73" s="3" t="n">
        <v>72</v>
      </c>
      <c r="B73" s="3" t="s">
        <v>181</v>
      </c>
      <c r="C73" s="3" t="s">
        <v>57</v>
      </c>
      <c r="D73" s="3" t="s">
        <v>235</v>
      </c>
      <c r="E73" s="3" t="n">
        <v>2400</v>
      </c>
      <c r="F73" s="3" t="n">
        <v>4</v>
      </c>
      <c r="G73" s="3" t="n">
        <v>8</v>
      </c>
      <c r="H73" s="3" t="s">
        <v>236</v>
      </c>
    </row>
    <row r="74" customFormat="false" ht="15" hidden="false" customHeight="false" outlineLevel="0" collapsed="false">
      <c r="A74" s="2" t="n">
        <v>73</v>
      </c>
      <c r="B74" s="2" t="s">
        <v>237</v>
      </c>
      <c r="C74" s="2" t="s">
        <v>107</v>
      </c>
      <c r="D74" s="2" t="s">
        <v>238</v>
      </c>
      <c r="E74" s="2" t="n">
        <v>2200</v>
      </c>
      <c r="F74" s="2" t="n">
        <v>4</v>
      </c>
      <c r="G74" s="2" t="n">
        <v>7</v>
      </c>
      <c r="H74" s="2" t="s">
        <v>239</v>
      </c>
    </row>
    <row r="75" customFormat="false" ht="15" hidden="false" customHeight="false" outlineLevel="0" collapsed="false">
      <c r="A75" s="3" t="n">
        <v>74</v>
      </c>
      <c r="B75" s="3" t="s">
        <v>240</v>
      </c>
      <c r="C75" s="3" t="s">
        <v>32</v>
      </c>
      <c r="D75" s="3" t="s">
        <v>241</v>
      </c>
      <c r="E75" s="3" t="n">
        <v>2200</v>
      </c>
      <c r="F75" s="3" t="n">
        <v>4</v>
      </c>
      <c r="G75" s="3" t="n">
        <v>7</v>
      </c>
      <c r="H75" s="3" t="s">
        <v>242</v>
      </c>
    </row>
    <row r="76" customFormat="false" ht="15" hidden="false" customHeight="false" outlineLevel="0" collapsed="false">
      <c r="A76" s="2" t="n">
        <v>75</v>
      </c>
      <c r="B76" s="2" t="s">
        <v>243</v>
      </c>
      <c r="C76" s="2" t="s">
        <v>83</v>
      </c>
      <c r="D76" s="2" t="s">
        <v>244</v>
      </c>
      <c r="E76" s="2" t="n">
        <v>2000</v>
      </c>
      <c r="F76" s="2" t="n">
        <v>3</v>
      </c>
      <c r="G76" s="2" t="n">
        <v>5</v>
      </c>
      <c r="H76" s="2" t="s">
        <v>245</v>
      </c>
    </row>
    <row r="77" customFormat="false" ht="15" hidden="false" customHeight="false" outlineLevel="0" collapsed="false">
      <c r="A77" s="3" t="n">
        <v>76</v>
      </c>
      <c r="B77" s="3" t="s">
        <v>246</v>
      </c>
      <c r="C77" s="3" t="s">
        <v>145</v>
      </c>
      <c r="D77" s="3" t="s">
        <v>247</v>
      </c>
      <c r="E77" s="3" t="n">
        <v>2100</v>
      </c>
      <c r="F77" s="3" t="n">
        <v>4</v>
      </c>
      <c r="G77" s="3" t="n">
        <v>6</v>
      </c>
      <c r="H77" s="3" t="s">
        <v>248</v>
      </c>
    </row>
    <row r="78" customFormat="false" ht="15" hidden="false" customHeight="false" outlineLevel="0" collapsed="false">
      <c r="A78" s="2" t="n">
        <v>77</v>
      </c>
      <c r="B78" s="2" t="s">
        <v>249</v>
      </c>
      <c r="C78" s="2" t="s">
        <v>145</v>
      </c>
      <c r="D78" s="2" t="s">
        <v>182</v>
      </c>
      <c r="E78" s="2" t="n">
        <v>2100</v>
      </c>
      <c r="F78" s="2" t="n">
        <v>4</v>
      </c>
      <c r="G78" s="2" t="n">
        <v>5</v>
      </c>
      <c r="H78" s="2" t="s">
        <v>250</v>
      </c>
    </row>
    <row r="79" customFormat="false" ht="15" hidden="false" customHeight="false" outlineLevel="0" collapsed="false">
      <c r="A79" s="3" t="n">
        <v>78</v>
      </c>
      <c r="B79" s="3" t="s">
        <v>251</v>
      </c>
      <c r="C79" s="3" t="s">
        <v>163</v>
      </c>
      <c r="D79" s="3" t="s">
        <v>252</v>
      </c>
      <c r="E79" s="3" t="n">
        <v>2000</v>
      </c>
      <c r="F79" s="3" t="n">
        <v>3</v>
      </c>
      <c r="G79" s="3" t="n">
        <v>5</v>
      </c>
      <c r="H79" s="3" t="s">
        <v>253</v>
      </c>
    </row>
    <row r="80" customFormat="false" ht="15" hidden="false" customHeight="false" outlineLevel="0" collapsed="false">
      <c r="A80" s="2" t="n">
        <v>79</v>
      </c>
      <c r="B80" s="2" t="s">
        <v>187</v>
      </c>
      <c r="C80" s="2" t="s">
        <v>100</v>
      </c>
      <c r="D80" s="2" t="s">
        <v>188</v>
      </c>
      <c r="E80" s="2" t="n">
        <v>2400</v>
      </c>
      <c r="F80" s="2" t="n">
        <v>4</v>
      </c>
      <c r="G80" s="2" t="n">
        <v>8</v>
      </c>
      <c r="H80" s="2" t="s">
        <v>254</v>
      </c>
    </row>
    <row r="81" customFormat="false" ht="15" hidden="false" customHeight="false" outlineLevel="0" collapsed="false">
      <c r="A81" s="3" t="n">
        <v>80</v>
      </c>
      <c r="B81" s="3" t="s">
        <v>255</v>
      </c>
      <c r="C81" s="3" t="s">
        <v>36</v>
      </c>
      <c r="D81" s="3" t="s">
        <v>256</v>
      </c>
      <c r="E81" s="3" t="n">
        <v>2100</v>
      </c>
      <c r="F81" s="3" t="n">
        <v>4</v>
      </c>
      <c r="G81" s="3" t="n">
        <v>6</v>
      </c>
      <c r="H81" s="3" t="s">
        <v>257</v>
      </c>
    </row>
    <row r="82" customFormat="false" ht="15" hidden="false" customHeight="false" outlineLevel="0" collapsed="false">
      <c r="A82" s="2" t="n">
        <v>81</v>
      </c>
      <c r="B82" s="2" t="s">
        <v>258</v>
      </c>
      <c r="C82" s="2" t="s">
        <v>79</v>
      </c>
      <c r="D82" s="2" t="s">
        <v>259</v>
      </c>
      <c r="E82" s="2" t="n">
        <v>2000</v>
      </c>
      <c r="F82" s="2" t="n">
        <v>3</v>
      </c>
      <c r="G82" s="2" t="n">
        <v>4</v>
      </c>
      <c r="H82" s="2" t="s">
        <v>260</v>
      </c>
    </row>
    <row r="83" customFormat="false" ht="15" hidden="false" customHeight="false" outlineLevel="0" collapsed="false">
      <c r="A83" s="3" t="n">
        <v>82</v>
      </c>
      <c r="B83" s="3" t="s">
        <v>261</v>
      </c>
      <c r="C83" s="3" t="s">
        <v>145</v>
      </c>
      <c r="D83" s="3" t="s">
        <v>262</v>
      </c>
      <c r="E83" s="3" t="n">
        <v>2300</v>
      </c>
      <c r="F83" s="3" t="n">
        <v>4</v>
      </c>
      <c r="G83" s="3" t="n">
        <v>8</v>
      </c>
      <c r="H83" s="3" t="s">
        <v>263</v>
      </c>
    </row>
    <row r="84" customFormat="false" ht="15" hidden="false" customHeight="false" outlineLevel="0" collapsed="false">
      <c r="A84" s="2" t="n">
        <v>83</v>
      </c>
      <c r="B84" s="2" t="s">
        <v>264</v>
      </c>
      <c r="C84" s="2" t="s">
        <v>90</v>
      </c>
      <c r="D84" s="2" t="s">
        <v>265</v>
      </c>
      <c r="E84" s="2" t="n">
        <v>2300</v>
      </c>
      <c r="F84" s="2" t="n">
        <v>4</v>
      </c>
      <c r="G84" s="2" t="n">
        <v>8</v>
      </c>
      <c r="H84" s="2" t="s">
        <v>266</v>
      </c>
    </row>
    <row r="85" customFormat="false" ht="15" hidden="false" customHeight="false" outlineLevel="0" collapsed="false">
      <c r="A85" s="3" t="n">
        <v>84</v>
      </c>
      <c r="B85" s="3" t="s">
        <v>227</v>
      </c>
      <c r="C85" s="3" t="s">
        <v>32</v>
      </c>
      <c r="D85" s="3" t="s">
        <v>267</v>
      </c>
      <c r="E85" s="3" t="n">
        <v>2300</v>
      </c>
      <c r="F85" s="3" t="n">
        <v>4</v>
      </c>
      <c r="G85" s="3" t="n">
        <v>8</v>
      </c>
      <c r="H85" s="3" t="s">
        <v>268</v>
      </c>
    </row>
    <row r="86" customFormat="false" ht="15" hidden="false" customHeight="false" outlineLevel="0" collapsed="false">
      <c r="A86" s="2" t="n">
        <v>85</v>
      </c>
      <c r="B86" s="2" t="s">
        <v>187</v>
      </c>
      <c r="C86" s="2" t="s">
        <v>100</v>
      </c>
      <c r="D86" s="2" t="s">
        <v>269</v>
      </c>
      <c r="E86" s="2" t="n">
        <v>2400</v>
      </c>
      <c r="F86" s="2" t="n">
        <v>4</v>
      </c>
      <c r="G86" s="2" t="n">
        <v>8</v>
      </c>
      <c r="H86" s="2" t="s">
        <v>270</v>
      </c>
    </row>
    <row r="87" customFormat="false" ht="15" hidden="false" customHeight="false" outlineLevel="0" collapsed="false">
      <c r="A87" s="3" t="n">
        <v>86</v>
      </c>
      <c r="B87" s="3" t="s">
        <v>271</v>
      </c>
      <c r="C87" s="3" t="s">
        <v>36</v>
      </c>
      <c r="D87" s="3" t="s">
        <v>272</v>
      </c>
      <c r="E87" s="3" t="n">
        <v>2200</v>
      </c>
      <c r="F87" s="3" t="n">
        <v>4</v>
      </c>
      <c r="G87" s="3" t="n">
        <v>6</v>
      </c>
      <c r="H87" s="3" t="s">
        <v>273</v>
      </c>
    </row>
    <row r="88" customFormat="false" ht="15" hidden="false" customHeight="false" outlineLevel="0" collapsed="false">
      <c r="A88" s="2" t="n">
        <v>87</v>
      </c>
      <c r="B88" s="2" t="s">
        <v>274</v>
      </c>
      <c r="C88" s="2" t="s">
        <v>107</v>
      </c>
      <c r="D88" s="2" t="s">
        <v>275</v>
      </c>
      <c r="E88" s="2" t="n">
        <v>2300</v>
      </c>
      <c r="F88" s="2" t="n">
        <v>4</v>
      </c>
      <c r="G88" s="2" t="n">
        <v>8</v>
      </c>
      <c r="H88" s="2" t="s">
        <v>276</v>
      </c>
    </row>
    <row r="89" customFormat="false" ht="15" hidden="false" customHeight="false" outlineLevel="0" collapsed="false">
      <c r="A89" s="3" t="n">
        <v>88</v>
      </c>
      <c r="B89" s="3" t="s">
        <v>277</v>
      </c>
      <c r="C89" s="3" t="s">
        <v>231</v>
      </c>
      <c r="D89" s="3" t="s">
        <v>278</v>
      </c>
      <c r="E89" s="3" t="n">
        <v>2100</v>
      </c>
      <c r="F89" s="3" t="n">
        <v>3</v>
      </c>
      <c r="G89" s="3" t="n">
        <v>6</v>
      </c>
      <c r="H89" s="3" t="s">
        <v>279</v>
      </c>
    </row>
    <row r="90" customFormat="false" ht="15" hidden="false" customHeight="false" outlineLevel="0" collapsed="false">
      <c r="A90" s="2" t="n">
        <v>89</v>
      </c>
      <c r="B90" s="2" t="s">
        <v>280</v>
      </c>
      <c r="C90" s="2" t="s">
        <v>79</v>
      </c>
      <c r="D90" s="2" t="s">
        <v>281</v>
      </c>
      <c r="E90" s="2" t="n">
        <v>2000</v>
      </c>
      <c r="F90" s="2" t="n">
        <v>3</v>
      </c>
      <c r="G90" s="2" t="n">
        <v>4</v>
      </c>
      <c r="H90" s="2" t="s">
        <v>282</v>
      </c>
    </row>
    <row r="91" customFormat="false" ht="23.85" hidden="false" customHeight="false" outlineLevel="0" collapsed="false">
      <c r="A91" s="3" t="n">
        <v>90</v>
      </c>
      <c r="B91" s="3" t="s">
        <v>283</v>
      </c>
      <c r="C91" s="3" t="s">
        <v>79</v>
      </c>
      <c r="D91" s="3" t="s">
        <v>284</v>
      </c>
      <c r="E91" s="3" t="n">
        <v>2000</v>
      </c>
      <c r="F91" s="3" t="n">
        <v>4</v>
      </c>
      <c r="G91" s="3" t="n">
        <v>4</v>
      </c>
      <c r="H91" s="3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5"/>
    <col collapsed="false" customWidth="true" hidden="false" outlineLevel="0" max="7" min="6" style="0" width="18"/>
    <col collapsed="false" customWidth="true" hidden="false" outlineLevel="0" max="8" min="8" style="0" width="15"/>
    <col collapsed="false" customWidth="true" hidden="false" outlineLevel="0" max="9" min="9" style="0" width="2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7</v>
      </c>
    </row>
    <row r="2" customFormat="false" ht="23.85" hidden="false" customHeight="false" outlineLevel="0" collapsed="false">
      <c r="A2" s="2" t="n">
        <v>1</v>
      </c>
      <c r="B2" s="2" t="s">
        <v>290</v>
      </c>
      <c r="C2" s="2" t="s">
        <v>291</v>
      </c>
      <c r="D2" s="2" t="s">
        <v>292</v>
      </c>
      <c r="E2" s="2" t="s">
        <v>293</v>
      </c>
      <c r="F2" s="2" t="n">
        <v>2000</v>
      </c>
      <c r="G2" s="2" t="n">
        <v>4</v>
      </c>
      <c r="H2" s="2" t="n">
        <v>16</v>
      </c>
      <c r="I2" s="2" t="s">
        <v>294</v>
      </c>
    </row>
    <row r="3" customFormat="false" ht="15" hidden="false" customHeight="false" outlineLevel="0" collapsed="false">
      <c r="A3" s="3" t="n">
        <v>2</v>
      </c>
      <c r="B3" s="3" t="s">
        <v>295</v>
      </c>
      <c r="C3" s="3" t="s">
        <v>107</v>
      </c>
      <c r="D3" s="3" t="s">
        <v>296</v>
      </c>
      <c r="E3" s="3" t="s">
        <v>297</v>
      </c>
      <c r="F3" s="3" t="n">
        <v>2100</v>
      </c>
      <c r="G3" s="3" t="n">
        <v>4</v>
      </c>
      <c r="H3" s="3" t="n">
        <v>20</v>
      </c>
      <c r="I3" s="3" t="s">
        <v>298</v>
      </c>
    </row>
    <row r="4" customFormat="false" ht="15" hidden="false" customHeight="false" outlineLevel="0" collapsed="false">
      <c r="A4" s="2" t="n">
        <v>3</v>
      </c>
      <c r="B4" s="2" t="s">
        <v>299</v>
      </c>
      <c r="C4" s="2" t="s">
        <v>300</v>
      </c>
      <c r="D4" s="2" t="s">
        <v>301</v>
      </c>
      <c r="E4" s="2" t="s">
        <v>302</v>
      </c>
      <c r="F4" s="2" t="n">
        <v>2200</v>
      </c>
      <c r="G4" s="2" t="n">
        <v>4</v>
      </c>
      <c r="H4" s="2" t="n">
        <v>16</v>
      </c>
      <c r="I4" s="2" t="s">
        <v>303</v>
      </c>
    </row>
    <row r="5" customFormat="false" ht="15" hidden="false" customHeight="false" outlineLevel="0" collapsed="false">
      <c r="A5" s="3" t="n">
        <v>4</v>
      </c>
      <c r="B5" s="3" t="s">
        <v>304</v>
      </c>
      <c r="C5" s="3" t="s">
        <v>21</v>
      </c>
      <c r="D5" s="3" t="s">
        <v>305</v>
      </c>
      <c r="E5" s="3" t="s">
        <v>306</v>
      </c>
      <c r="F5" s="3" t="n">
        <v>2300</v>
      </c>
      <c r="G5" s="3" t="n">
        <v>4</v>
      </c>
      <c r="H5" s="3" t="n">
        <v>24</v>
      </c>
      <c r="I5" s="3" t="s">
        <v>307</v>
      </c>
    </row>
    <row r="6" customFormat="false" ht="15" hidden="false" customHeight="false" outlineLevel="0" collapsed="false">
      <c r="A6" s="2" t="n">
        <v>5</v>
      </c>
      <c r="B6" s="2" t="s">
        <v>308</v>
      </c>
      <c r="C6" s="2" t="s">
        <v>107</v>
      </c>
      <c r="D6" s="2" t="s">
        <v>309</v>
      </c>
      <c r="E6" s="2" t="s">
        <v>297</v>
      </c>
      <c r="F6" s="2" t="n">
        <v>2200</v>
      </c>
      <c r="G6" s="2" t="n">
        <v>4</v>
      </c>
      <c r="H6" s="2" t="n">
        <v>20</v>
      </c>
      <c r="I6" s="2" t="s">
        <v>310</v>
      </c>
    </row>
    <row r="7" customFormat="false" ht="15" hidden="false" customHeight="false" outlineLevel="0" collapsed="false">
      <c r="A7" s="3" t="n">
        <v>6</v>
      </c>
      <c r="B7" s="3" t="s">
        <v>311</v>
      </c>
      <c r="C7" s="3" t="s">
        <v>28</v>
      </c>
      <c r="D7" s="3" t="s">
        <v>312</v>
      </c>
      <c r="E7" s="3" t="s">
        <v>313</v>
      </c>
      <c r="F7" s="3" t="n">
        <v>2100</v>
      </c>
      <c r="G7" s="3" t="n">
        <v>3</v>
      </c>
      <c r="H7" s="3" t="n">
        <v>16</v>
      </c>
      <c r="I7" s="3" t="s">
        <v>314</v>
      </c>
    </row>
    <row r="8" customFormat="false" ht="15" hidden="false" customHeight="false" outlineLevel="0" collapsed="false">
      <c r="A8" s="2" t="n">
        <v>7</v>
      </c>
      <c r="B8" s="2" t="s">
        <v>315</v>
      </c>
      <c r="C8" s="2" t="s">
        <v>83</v>
      </c>
      <c r="D8" s="2" t="s">
        <v>316</v>
      </c>
      <c r="E8" s="2" t="s">
        <v>317</v>
      </c>
      <c r="F8" s="2" t="n">
        <v>2000</v>
      </c>
      <c r="G8" s="2" t="n">
        <v>4</v>
      </c>
      <c r="H8" s="2" t="n">
        <v>18</v>
      </c>
      <c r="I8" s="2" t="s">
        <v>318</v>
      </c>
    </row>
    <row r="9" customFormat="false" ht="15" hidden="false" customHeight="false" outlineLevel="0" collapsed="false">
      <c r="A9" s="3" t="n">
        <v>8</v>
      </c>
      <c r="B9" s="3" t="s">
        <v>319</v>
      </c>
      <c r="C9" s="3" t="s">
        <v>320</v>
      </c>
      <c r="D9" s="3" t="s">
        <v>321</v>
      </c>
      <c r="E9" s="3" t="s">
        <v>322</v>
      </c>
      <c r="F9" s="3" t="n">
        <v>2100</v>
      </c>
      <c r="G9" s="3" t="n">
        <v>4</v>
      </c>
      <c r="H9" s="3" t="n">
        <v>18</v>
      </c>
      <c r="I9" s="3" t="s">
        <v>323</v>
      </c>
    </row>
    <row r="10" customFormat="false" ht="15" hidden="false" customHeight="false" outlineLevel="0" collapsed="false">
      <c r="A10" s="2" t="n">
        <v>9</v>
      </c>
      <c r="B10" s="2" t="s">
        <v>39</v>
      </c>
      <c r="C10" s="2" t="s">
        <v>40</v>
      </c>
      <c r="D10" s="2" t="s">
        <v>324</v>
      </c>
      <c r="E10" s="2" t="s">
        <v>325</v>
      </c>
      <c r="F10" s="2" t="n">
        <v>2200</v>
      </c>
      <c r="G10" s="2" t="n">
        <v>4</v>
      </c>
      <c r="H10" s="2" t="n">
        <v>16</v>
      </c>
      <c r="I10" s="2" t="s">
        <v>326</v>
      </c>
    </row>
    <row r="11" customFormat="false" ht="15" hidden="false" customHeight="false" outlineLevel="0" collapsed="false">
      <c r="A11" s="3" t="n">
        <v>10</v>
      </c>
      <c r="B11" s="3" t="s">
        <v>43</v>
      </c>
      <c r="C11" s="3" t="s">
        <v>44</v>
      </c>
      <c r="D11" s="3" t="s">
        <v>327</v>
      </c>
      <c r="E11" s="3" t="s">
        <v>328</v>
      </c>
      <c r="F11" s="3" t="n">
        <v>2300</v>
      </c>
      <c r="G11" s="3" t="n">
        <v>4</v>
      </c>
      <c r="H11" s="3" t="n">
        <v>16</v>
      </c>
      <c r="I11" s="3" t="s">
        <v>329</v>
      </c>
    </row>
    <row r="12" customFormat="false" ht="15" hidden="false" customHeight="false" outlineLevel="0" collapsed="false">
      <c r="A12" s="2" t="n">
        <v>11</v>
      </c>
      <c r="B12" s="2" t="s">
        <v>330</v>
      </c>
      <c r="C12" s="2" t="s">
        <v>36</v>
      </c>
      <c r="D12" s="2" t="s">
        <v>331</v>
      </c>
      <c r="E12" s="2" t="s">
        <v>332</v>
      </c>
      <c r="F12" s="2" t="n">
        <v>2100</v>
      </c>
      <c r="G12" s="2" t="n">
        <v>4</v>
      </c>
      <c r="H12" s="2" t="n">
        <v>14</v>
      </c>
      <c r="I12" s="2" t="s">
        <v>333</v>
      </c>
    </row>
    <row r="13" customFormat="false" ht="15" hidden="false" customHeight="false" outlineLevel="0" collapsed="false">
      <c r="A13" s="3" t="n">
        <v>12</v>
      </c>
      <c r="B13" s="3" t="s">
        <v>334</v>
      </c>
      <c r="C13" s="3" t="s">
        <v>40</v>
      </c>
      <c r="D13" s="3" t="s">
        <v>335</v>
      </c>
      <c r="E13" s="3" t="s">
        <v>336</v>
      </c>
      <c r="F13" s="3" t="n">
        <v>2200</v>
      </c>
      <c r="G13" s="3" t="n">
        <v>4</v>
      </c>
      <c r="H13" s="3" t="n">
        <v>16</v>
      </c>
      <c r="I13" s="3" t="s">
        <v>337</v>
      </c>
    </row>
    <row r="14" customFormat="false" ht="15" hidden="false" customHeight="false" outlineLevel="0" collapsed="false">
      <c r="A14" s="2" t="n">
        <v>13</v>
      </c>
      <c r="B14" s="2" t="s">
        <v>338</v>
      </c>
      <c r="C14" s="2" t="s">
        <v>44</v>
      </c>
      <c r="D14" s="2" t="s">
        <v>339</v>
      </c>
      <c r="E14" s="2" t="s">
        <v>340</v>
      </c>
      <c r="F14" s="2" t="n">
        <v>2200</v>
      </c>
      <c r="G14" s="2" t="n">
        <v>4</v>
      </c>
      <c r="H14" s="2" t="n">
        <v>16</v>
      </c>
      <c r="I14" s="2" t="s">
        <v>341</v>
      </c>
    </row>
    <row r="15" customFormat="false" ht="15" hidden="false" customHeight="false" outlineLevel="0" collapsed="false">
      <c r="A15" s="3" t="n">
        <v>14</v>
      </c>
      <c r="B15" s="3" t="s">
        <v>342</v>
      </c>
      <c r="C15" s="3" t="s">
        <v>343</v>
      </c>
      <c r="D15" s="3" t="s">
        <v>344</v>
      </c>
      <c r="E15" s="3" t="s">
        <v>345</v>
      </c>
      <c r="F15" s="3" t="n">
        <v>2100</v>
      </c>
      <c r="G15" s="3" t="n">
        <v>4</v>
      </c>
      <c r="H15" s="3" t="n">
        <v>20</v>
      </c>
      <c r="I15" s="3" t="s">
        <v>346</v>
      </c>
    </row>
    <row r="16" customFormat="false" ht="15" hidden="false" customHeight="false" outlineLevel="0" collapsed="false">
      <c r="A16" s="2" t="n">
        <v>15</v>
      </c>
      <c r="B16" s="2" t="s">
        <v>347</v>
      </c>
      <c r="C16" s="2" t="s">
        <v>145</v>
      </c>
      <c r="D16" s="2" t="s">
        <v>348</v>
      </c>
      <c r="E16" s="2" t="s">
        <v>349</v>
      </c>
      <c r="F16" s="2" t="n">
        <v>2200</v>
      </c>
      <c r="G16" s="2" t="n">
        <v>4</v>
      </c>
      <c r="H16" s="2" t="n">
        <v>18</v>
      </c>
      <c r="I16" s="2" t="s">
        <v>350</v>
      </c>
    </row>
    <row r="17" customFormat="false" ht="15" hidden="false" customHeight="false" outlineLevel="0" collapsed="false">
      <c r="A17" s="3" t="n">
        <v>16</v>
      </c>
      <c r="B17" s="3" t="s">
        <v>351</v>
      </c>
      <c r="C17" s="3" t="s">
        <v>36</v>
      </c>
      <c r="D17" s="3" t="s">
        <v>352</v>
      </c>
      <c r="E17" s="3" t="s">
        <v>353</v>
      </c>
      <c r="F17" s="3" t="n">
        <v>2300</v>
      </c>
      <c r="G17" s="3" t="n">
        <v>4</v>
      </c>
      <c r="H17" s="3" t="n">
        <v>18</v>
      </c>
      <c r="I17" s="3" t="s">
        <v>354</v>
      </c>
    </row>
    <row r="18" customFormat="false" ht="15" hidden="false" customHeight="false" outlineLevel="0" collapsed="false">
      <c r="A18" s="2" t="n">
        <v>17</v>
      </c>
      <c r="B18" s="2" t="s">
        <v>66</v>
      </c>
      <c r="C18" s="2" t="s">
        <v>355</v>
      </c>
      <c r="D18" s="2" t="s">
        <v>356</v>
      </c>
      <c r="E18" s="2" t="s">
        <v>357</v>
      </c>
      <c r="F18" s="2" t="n">
        <v>2400</v>
      </c>
      <c r="G18" s="2" t="n">
        <v>4</v>
      </c>
      <c r="H18" s="2" t="n">
        <v>20</v>
      </c>
      <c r="I18" s="2" t="s">
        <v>358</v>
      </c>
    </row>
    <row r="19" customFormat="false" ht="15" hidden="false" customHeight="false" outlineLevel="0" collapsed="false">
      <c r="A19" s="3" t="n">
        <v>18</v>
      </c>
      <c r="B19" s="3" t="s">
        <v>70</v>
      </c>
      <c r="C19" s="3" t="s">
        <v>57</v>
      </c>
      <c r="D19" s="3" t="s">
        <v>71</v>
      </c>
      <c r="E19" s="3" t="s">
        <v>359</v>
      </c>
      <c r="F19" s="3" t="n">
        <v>2200</v>
      </c>
      <c r="G19" s="3" t="n">
        <v>4</v>
      </c>
      <c r="H19" s="3" t="n">
        <v>16</v>
      </c>
      <c r="I19" s="3" t="s">
        <v>360</v>
      </c>
    </row>
    <row r="20" customFormat="false" ht="15" hidden="false" customHeight="false" outlineLevel="0" collapsed="false">
      <c r="A20" s="2" t="n">
        <v>19</v>
      </c>
      <c r="B20" s="2" t="s">
        <v>73</v>
      </c>
      <c r="C20" s="2" t="s">
        <v>57</v>
      </c>
      <c r="D20" s="2" t="s">
        <v>71</v>
      </c>
      <c r="E20" s="2" t="s">
        <v>359</v>
      </c>
      <c r="F20" s="2" t="n">
        <v>2200</v>
      </c>
      <c r="G20" s="2" t="n">
        <v>4</v>
      </c>
      <c r="H20" s="2" t="n">
        <v>16</v>
      </c>
      <c r="I20" s="2" t="s">
        <v>361</v>
      </c>
    </row>
    <row r="21" customFormat="false" ht="15" hidden="false" customHeight="false" outlineLevel="0" collapsed="false">
      <c r="A21" s="3" t="n">
        <v>20</v>
      </c>
      <c r="B21" s="3" t="s">
        <v>362</v>
      </c>
      <c r="C21" s="3" t="s">
        <v>36</v>
      </c>
      <c r="D21" s="3" t="s">
        <v>363</v>
      </c>
      <c r="E21" s="3" t="s">
        <v>364</v>
      </c>
      <c r="F21" s="3" t="n">
        <v>2100</v>
      </c>
      <c r="G21" s="3" t="n">
        <v>4</v>
      </c>
      <c r="H21" s="3" t="n">
        <v>16</v>
      </c>
      <c r="I21" s="3" t="s">
        <v>365</v>
      </c>
    </row>
    <row r="22" customFormat="false" ht="15" hidden="false" customHeight="false" outlineLevel="0" collapsed="false">
      <c r="A22" s="2" t="n">
        <v>21</v>
      </c>
      <c r="B22" s="2" t="s">
        <v>78</v>
      </c>
      <c r="C22" s="2" t="s">
        <v>79</v>
      </c>
      <c r="D22" s="2" t="s">
        <v>366</v>
      </c>
      <c r="E22" s="2" t="s">
        <v>367</v>
      </c>
      <c r="F22" s="2" t="n">
        <v>2000</v>
      </c>
      <c r="G22" s="2" t="n">
        <v>3</v>
      </c>
      <c r="H22" s="2" t="n">
        <v>12</v>
      </c>
      <c r="I22" s="2" t="s">
        <v>368</v>
      </c>
    </row>
    <row r="23" customFormat="false" ht="15" hidden="false" customHeight="false" outlineLevel="0" collapsed="false">
      <c r="A23" s="3" t="n">
        <v>22</v>
      </c>
      <c r="B23" s="3" t="s">
        <v>369</v>
      </c>
      <c r="C23" s="3" t="s">
        <v>83</v>
      </c>
      <c r="D23" s="3" t="s">
        <v>370</v>
      </c>
      <c r="E23" s="3" t="s">
        <v>317</v>
      </c>
      <c r="F23" s="3" t="n">
        <v>2200</v>
      </c>
      <c r="G23" s="3" t="n">
        <v>4</v>
      </c>
      <c r="H23" s="3" t="n">
        <v>18</v>
      </c>
      <c r="I23" s="3" t="s">
        <v>371</v>
      </c>
    </row>
    <row r="24" customFormat="false" ht="15" hidden="false" customHeight="false" outlineLevel="0" collapsed="false">
      <c r="A24" s="2" t="n">
        <v>23</v>
      </c>
      <c r="B24" s="2" t="s">
        <v>372</v>
      </c>
      <c r="C24" s="2" t="s">
        <v>107</v>
      </c>
      <c r="D24" s="2" t="s">
        <v>87</v>
      </c>
      <c r="E24" s="2" t="s">
        <v>297</v>
      </c>
      <c r="F24" s="2" t="n">
        <v>2200</v>
      </c>
      <c r="G24" s="2" t="n">
        <v>4</v>
      </c>
      <c r="H24" s="2" t="n">
        <v>20</v>
      </c>
      <c r="I24" s="2" t="s">
        <v>373</v>
      </c>
    </row>
    <row r="25" customFormat="false" ht="15" hidden="false" customHeight="false" outlineLevel="0" collapsed="false">
      <c r="A25" s="3" t="n">
        <v>24</v>
      </c>
      <c r="B25" s="3" t="s">
        <v>374</v>
      </c>
      <c r="C25" s="3" t="s">
        <v>90</v>
      </c>
      <c r="D25" s="3" t="s">
        <v>91</v>
      </c>
      <c r="E25" s="3" t="s">
        <v>375</v>
      </c>
      <c r="F25" s="3" t="n">
        <v>2100</v>
      </c>
      <c r="G25" s="3" t="n">
        <v>4</v>
      </c>
      <c r="H25" s="3" t="n">
        <v>14</v>
      </c>
      <c r="I25" s="3" t="s">
        <v>376</v>
      </c>
    </row>
    <row r="26" customFormat="false" ht="15" hidden="false" customHeight="false" outlineLevel="0" collapsed="false">
      <c r="A26" s="2" t="n">
        <v>25</v>
      </c>
      <c r="B26" s="2" t="s">
        <v>377</v>
      </c>
      <c r="C26" s="2" t="s">
        <v>83</v>
      </c>
      <c r="D26" s="2" t="s">
        <v>94</v>
      </c>
      <c r="E26" s="2" t="s">
        <v>349</v>
      </c>
      <c r="F26" s="2" t="n">
        <v>2100</v>
      </c>
      <c r="G26" s="2" t="n">
        <v>4</v>
      </c>
      <c r="H26" s="2" t="n">
        <v>16</v>
      </c>
      <c r="I26" s="2" t="s">
        <v>378</v>
      </c>
    </row>
    <row r="27" customFormat="false" ht="15" hidden="false" customHeight="false" outlineLevel="0" collapsed="false">
      <c r="A27" s="3" t="n">
        <v>26</v>
      </c>
      <c r="B27" s="3" t="s">
        <v>379</v>
      </c>
      <c r="C27" s="3" t="s">
        <v>83</v>
      </c>
      <c r="D27" s="3" t="s">
        <v>380</v>
      </c>
      <c r="E27" s="3" t="s">
        <v>381</v>
      </c>
      <c r="F27" s="3" t="n">
        <v>2200</v>
      </c>
      <c r="G27" s="3" t="n">
        <v>4</v>
      </c>
      <c r="H27" s="3" t="n">
        <v>20</v>
      </c>
      <c r="I27" s="3" t="s">
        <v>382</v>
      </c>
    </row>
    <row r="28" customFormat="false" ht="15" hidden="false" customHeight="false" outlineLevel="0" collapsed="false">
      <c r="A28" s="2" t="n">
        <v>27</v>
      </c>
      <c r="B28" s="2" t="s">
        <v>383</v>
      </c>
      <c r="C28" s="2" t="s">
        <v>44</v>
      </c>
      <c r="D28" s="2" t="s">
        <v>101</v>
      </c>
      <c r="E28" s="2" t="s">
        <v>384</v>
      </c>
      <c r="F28" s="2" t="n">
        <v>2300</v>
      </c>
      <c r="G28" s="2" t="n">
        <v>4</v>
      </c>
      <c r="H28" s="2" t="n">
        <v>18</v>
      </c>
      <c r="I28" s="2" t="s">
        <v>385</v>
      </c>
    </row>
    <row r="29" customFormat="false" ht="23.85" hidden="false" customHeight="false" outlineLevel="0" collapsed="false">
      <c r="A29" s="3" t="n">
        <v>29</v>
      </c>
      <c r="B29" s="3" t="s">
        <v>386</v>
      </c>
      <c r="C29" s="3" t="s">
        <v>291</v>
      </c>
      <c r="D29" s="3" t="s">
        <v>292</v>
      </c>
      <c r="E29" s="3" t="s">
        <v>293</v>
      </c>
      <c r="F29" s="3" t="n">
        <v>2000</v>
      </c>
      <c r="G29" s="3" t="n">
        <v>4</v>
      </c>
      <c r="H29" s="3" t="n">
        <v>16</v>
      </c>
      <c r="I29" s="3" t="s">
        <v>387</v>
      </c>
    </row>
    <row r="30" customFormat="false" ht="23.85" hidden="false" customHeight="false" outlineLevel="0" collapsed="false">
      <c r="A30" s="2" t="n">
        <v>30</v>
      </c>
      <c r="B30" s="2" t="s">
        <v>388</v>
      </c>
      <c r="C30" s="2" t="s">
        <v>107</v>
      </c>
      <c r="D30" s="2" t="s">
        <v>296</v>
      </c>
      <c r="E30" s="2" t="s">
        <v>297</v>
      </c>
      <c r="F30" s="2" t="n">
        <v>2100</v>
      </c>
      <c r="G30" s="2" t="n">
        <v>4</v>
      </c>
      <c r="H30" s="2" t="n">
        <v>20</v>
      </c>
      <c r="I30" s="2" t="s">
        <v>389</v>
      </c>
    </row>
    <row r="31" customFormat="false" ht="23.85" hidden="false" customHeight="false" outlineLevel="0" collapsed="false">
      <c r="A31" s="3" t="n">
        <v>31</v>
      </c>
      <c r="B31" s="3" t="s">
        <v>390</v>
      </c>
      <c r="C31" s="3" t="s">
        <v>300</v>
      </c>
      <c r="D31" s="3" t="s">
        <v>301</v>
      </c>
      <c r="E31" s="3" t="s">
        <v>302</v>
      </c>
      <c r="F31" s="3" t="n">
        <v>2200</v>
      </c>
      <c r="G31" s="3" t="n">
        <v>4</v>
      </c>
      <c r="H31" s="3" t="n">
        <v>16</v>
      </c>
      <c r="I31" s="3" t="s">
        <v>391</v>
      </c>
    </row>
    <row r="32" customFormat="false" ht="23.85" hidden="false" customHeight="false" outlineLevel="0" collapsed="false">
      <c r="A32" s="2" t="n">
        <v>32</v>
      </c>
      <c r="B32" s="2" t="s">
        <v>392</v>
      </c>
      <c r="C32" s="2" t="s">
        <v>21</v>
      </c>
      <c r="D32" s="2" t="s">
        <v>305</v>
      </c>
      <c r="E32" s="2" t="s">
        <v>306</v>
      </c>
      <c r="F32" s="2" t="n">
        <v>2300</v>
      </c>
      <c r="G32" s="2" t="n">
        <v>4</v>
      </c>
      <c r="H32" s="2" t="n">
        <v>24</v>
      </c>
      <c r="I32" s="2" t="s">
        <v>393</v>
      </c>
    </row>
    <row r="33" customFormat="false" ht="23.85" hidden="false" customHeight="false" outlineLevel="0" collapsed="false">
      <c r="A33" s="3" t="n">
        <v>33</v>
      </c>
      <c r="B33" s="3" t="s">
        <v>394</v>
      </c>
      <c r="C33" s="3" t="s">
        <v>107</v>
      </c>
      <c r="D33" s="3" t="s">
        <v>309</v>
      </c>
      <c r="E33" s="3" t="s">
        <v>297</v>
      </c>
      <c r="F33" s="3" t="n">
        <v>2200</v>
      </c>
      <c r="G33" s="3" t="n">
        <v>4</v>
      </c>
      <c r="H33" s="3" t="n">
        <v>20</v>
      </c>
      <c r="I33" s="3" t="s">
        <v>395</v>
      </c>
    </row>
    <row r="34" customFormat="false" ht="23.85" hidden="false" customHeight="false" outlineLevel="0" collapsed="false">
      <c r="A34" s="2" t="n">
        <v>34</v>
      </c>
      <c r="B34" s="2" t="s">
        <v>396</v>
      </c>
      <c r="C34" s="2" t="s">
        <v>28</v>
      </c>
      <c r="D34" s="2" t="s">
        <v>312</v>
      </c>
      <c r="E34" s="2" t="s">
        <v>313</v>
      </c>
      <c r="F34" s="2" t="n">
        <v>2100</v>
      </c>
      <c r="G34" s="2" t="n">
        <v>3</v>
      </c>
      <c r="H34" s="2" t="n">
        <v>16</v>
      </c>
      <c r="I34" s="2" t="s">
        <v>397</v>
      </c>
    </row>
    <row r="35" customFormat="false" ht="15" hidden="false" customHeight="false" outlineLevel="0" collapsed="false">
      <c r="A35" s="3" t="n">
        <v>35</v>
      </c>
      <c r="B35" s="3" t="s">
        <v>398</v>
      </c>
      <c r="C35" s="3" t="s">
        <v>83</v>
      </c>
      <c r="D35" s="3" t="s">
        <v>316</v>
      </c>
      <c r="E35" s="3" t="s">
        <v>317</v>
      </c>
      <c r="F35" s="3" t="n">
        <v>2000</v>
      </c>
      <c r="G35" s="3" t="n">
        <v>4</v>
      </c>
      <c r="H35" s="3" t="n">
        <v>18</v>
      </c>
      <c r="I35" s="3" t="s">
        <v>399</v>
      </c>
    </row>
    <row r="36" customFormat="false" ht="15" hidden="false" customHeight="false" outlineLevel="0" collapsed="false">
      <c r="A36" s="2" t="n">
        <v>36</v>
      </c>
      <c r="B36" s="2" t="s">
        <v>400</v>
      </c>
      <c r="C36" s="2" t="s">
        <v>320</v>
      </c>
      <c r="D36" s="2" t="s">
        <v>321</v>
      </c>
      <c r="E36" s="2" t="s">
        <v>322</v>
      </c>
      <c r="F36" s="2" t="n">
        <v>2100</v>
      </c>
      <c r="G36" s="2" t="n">
        <v>4</v>
      </c>
      <c r="H36" s="2" t="n">
        <v>18</v>
      </c>
      <c r="I36" s="2" t="s">
        <v>401</v>
      </c>
    </row>
    <row r="37" customFormat="false" ht="23.85" hidden="false" customHeight="false" outlineLevel="0" collapsed="false">
      <c r="A37" s="3" t="n">
        <v>37</v>
      </c>
      <c r="B37" s="3" t="s">
        <v>402</v>
      </c>
      <c r="C37" s="3" t="s">
        <v>40</v>
      </c>
      <c r="D37" s="3" t="s">
        <v>324</v>
      </c>
      <c r="E37" s="3" t="s">
        <v>325</v>
      </c>
      <c r="F37" s="3" t="n">
        <v>2200</v>
      </c>
      <c r="G37" s="3" t="n">
        <v>4</v>
      </c>
      <c r="H37" s="3" t="n">
        <v>16</v>
      </c>
      <c r="I37" s="3" t="s">
        <v>403</v>
      </c>
    </row>
    <row r="38" customFormat="false" ht="15" hidden="false" customHeight="false" outlineLevel="0" collapsed="false">
      <c r="A38" s="2" t="n">
        <v>38</v>
      </c>
      <c r="B38" s="2" t="s">
        <v>404</v>
      </c>
      <c r="C38" s="2" t="s">
        <v>44</v>
      </c>
      <c r="D38" s="2" t="s">
        <v>327</v>
      </c>
      <c r="E38" s="2" t="s">
        <v>328</v>
      </c>
      <c r="F38" s="2" t="n">
        <v>2300</v>
      </c>
      <c r="G38" s="2" t="n">
        <v>4</v>
      </c>
      <c r="H38" s="2" t="n">
        <v>16</v>
      </c>
      <c r="I38" s="2" t="s">
        <v>405</v>
      </c>
    </row>
    <row r="39" customFormat="false" ht="23.85" hidden="false" customHeight="false" outlineLevel="0" collapsed="false">
      <c r="A39" s="3" t="n">
        <v>39</v>
      </c>
      <c r="B39" s="3" t="s">
        <v>406</v>
      </c>
      <c r="C39" s="3" t="s">
        <v>36</v>
      </c>
      <c r="D39" s="3" t="s">
        <v>331</v>
      </c>
      <c r="E39" s="3" t="s">
        <v>332</v>
      </c>
      <c r="F39" s="3" t="n">
        <v>2100</v>
      </c>
      <c r="G39" s="3" t="n">
        <v>4</v>
      </c>
      <c r="H39" s="3" t="n">
        <v>14</v>
      </c>
      <c r="I39" s="3" t="s">
        <v>407</v>
      </c>
    </row>
    <row r="40" customFormat="false" ht="15" hidden="false" customHeight="false" outlineLevel="0" collapsed="false">
      <c r="A40" s="2" t="n">
        <v>40</v>
      </c>
      <c r="B40" s="2" t="s">
        <v>408</v>
      </c>
      <c r="C40" s="2" t="s">
        <v>40</v>
      </c>
      <c r="D40" s="2" t="s">
        <v>335</v>
      </c>
      <c r="E40" s="2" t="s">
        <v>336</v>
      </c>
      <c r="F40" s="2" t="n">
        <v>2200</v>
      </c>
      <c r="G40" s="2" t="n">
        <v>4</v>
      </c>
      <c r="H40" s="2" t="n">
        <v>16</v>
      </c>
      <c r="I40" s="2" t="s">
        <v>409</v>
      </c>
    </row>
    <row r="41" customFormat="false" ht="15" hidden="false" customHeight="false" outlineLevel="0" collapsed="false">
      <c r="A41" s="3" t="n">
        <v>41</v>
      </c>
      <c r="B41" s="3" t="s">
        <v>410</v>
      </c>
      <c r="C41" s="3" t="s">
        <v>44</v>
      </c>
      <c r="D41" s="3" t="s">
        <v>339</v>
      </c>
      <c r="E41" s="3" t="s">
        <v>340</v>
      </c>
      <c r="F41" s="3" t="n">
        <v>2200</v>
      </c>
      <c r="G41" s="3" t="n">
        <v>4</v>
      </c>
      <c r="H41" s="3" t="n">
        <v>16</v>
      </c>
      <c r="I41" s="3" t="s">
        <v>411</v>
      </c>
    </row>
    <row r="42" customFormat="false" ht="23.85" hidden="false" customHeight="false" outlineLevel="0" collapsed="false">
      <c r="A42" s="2" t="n">
        <v>42</v>
      </c>
      <c r="B42" s="2" t="s">
        <v>412</v>
      </c>
      <c r="C42" s="2" t="s">
        <v>343</v>
      </c>
      <c r="D42" s="2" t="s">
        <v>344</v>
      </c>
      <c r="E42" s="2" t="s">
        <v>345</v>
      </c>
      <c r="F42" s="2" t="n">
        <v>2100</v>
      </c>
      <c r="G42" s="2" t="n">
        <v>4</v>
      </c>
      <c r="H42" s="2" t="n">
        <v>20</v>
      </c>
      <c r="I42" s="2" t="s">
        <v>413</v>
      </c>
    </row>
    <row r="43" customFormat="false" ht="15" hidden="false" customHeight="false" outlineLevel="0" collapsed="false">
      <c r="A43" s="3" t="n">
        <v>43</v>
      </c>
      <c r="B43" s="3" t="s">
        <v>414</v>
      </c>
      <c r="C43" s="3" t="s">
        <v>145</v>
      </c>
      <c r="D43" s="3" t="s">
        <v>348</v>
      </c>
      <c r="E43" s="3" t="s">
        <v>349</v>
      </c>
      <c r="F43" s="3" t="n">
        <v>2200</v>
      </c>
      <c r="G43" s="3" t="n">
        <v>4</v>
      </c>
      <c r="H43" s="3" t="n">
        <v>18</v>
      </c>
      <c r="I43" s="3" t="s">
        <v>415</v>
      </c>
    </row>
    <row r="44" customFormat="false" ht="15" hidden="false" customHeight="false" outlineLevel="0" collapsed="false">
      <c r="A44" s="2" t="n">
        <v>44</v>
      </c>
      <c r="B44" s="2" t="s">
        <v>416</v>
      </c>
      <c r="C44" s="2" t="s">
        <v>36</v>
      </c>
      <c r="D44" s="2" t="s">
        <v>352</v>
      </c>
      <c r="E44" s="2" t="s">
        <v>353</v>
      </c>
      <c r="F44" s="2" t="n">
        <v>2300</v>
      </c>
      <c r="G44" s="2" t="n">
        <v>4</v>
      </c>
      <c r="H44" s="2" t="n">
        <v>18</v>
      </c>
      <c r="I44" s="2" t="s">
        <v>417</v>
      </c>
    </row>
    <row r="45" customFormat="false" ht="23.85" hidden="false" customHeight="false" outlineLevel="0" collapsed="false">
      <c r="A45" s="3" t="n">
        <v>45</v>
      </c>
      <c r="B45" s="3" t="s">
        <v>418</v>
      </c>
      <c r="C45" s="3" t="s">
        <v>355</v>
      </c>
      <c r="D45" s="3" t="s">
        <v>356</v>
      </c>
      <c r="E45" s="3" t="s">
        <v>357</v>
      </c>
      <c r="F45" s="3" t="n">
        <v>2400</v>
      </c>
      <c r="G45" s="3" t="n">
        <v>4</v>
      </c>
      <c r="H45" s="3" t="n">
        <v>20</v>
      </c>
      <c r="I45" s="3" t="s">
        <v>419</v>
      </c>
    </row>
    <row r="46" customFormat="false" ht="15" hidden="false" customHeight="false" outlineLevel="0" collapsed="false">
      <c r="A46" s="2" t="n">
        <v>46</v>
      </c>
      <c r="B46" s="2" t="s">
        <v>420</v>
      </c>
      <c r="C46" s="2" t="s">
        <v>57</v>
      </c>
      <c r="D46" s="2" t="s">
        <v>71</v>
      </c>
      <c r="E46" s="2" t="s">
        <v>359</v>
      </c>
      <c r="F46" s="2" t="n">
        <v>2200</v>
      </c>
      <c r="G46" s="2" t="n">
        <v>4</v>
      </c>
      <c r="H46" s="2" t="n">
        <v>16</v>
      </c>
      <c r="I46" s="2" t="s">
        <v>421</v>
      </c>
    </row>
    <row r="47" customFormat="false" ht="15" hidden="false" customHeight="false" outlineLevel="0" collapsed="false">
      <c r="A47" s="3" t="n">
        <v>47</v>
      </c>
      <c r="B47" s="3" t="s">
        <v>422</v>
      </c>
      <c r="C47" s="3" t="s">
        <v>57</v>
      </c>
      <c r="D47" s="3" t="s">
        <v>71</v>
      </c>
      <c r="E47" s="3" t="s">
        <v>359</v>
      </c>
      <c r="F47" s="3" t="n">
        <v>2200</v>
      </c>
      <c r="G47" s="3" t="n">
        <v>4</v>
      </c>
      <c r="H47" s="3" t="n">
        <v>16</v>
      </c>
      <c r="I47" s="3" t="s">
        <v>423</v>
      </c>
    </row>
    <row r="48" customFormat="false" ht="15" hidden="false" customHeight="false" outlineLevel="0" collapsed="false">
      <c r="A48" s="2" t="n">
        <v>48</v>
      </c>
      <c r="B48" s="2" t="s">
        <v>424</v>
      </c>
      <c r="C48" s="2" t="s">
        <v>36</v>
      </c>
      <c r="D48" s="2" t="s">
        <v>363</v>
      </c>
      <c r="E48" s="2" t="s">
        <v>364</v>
      </c>
      <c r="F48" s="2" t="n">
        <v>2100</v>
      </c>
      <c r="G48" s="2" t="n">
        <v>4</v>
      </c>
      <c r="H48" s="2" t="n">
        <v>16</v>
      </c>
      <c r="I48" s="2" t="s">
        <v>425</v>
      </c>
    </row>
    <row r="49" customFormat="false" ht="15" hidden="false" customHeight="false" outlineLevel="0" collapsed="false">
      <c r="A49" s="3" t="n">
        <v>49</v>
      </c>
      <c r="B49" s="3" t="s">
        <v>426</v>
      </c>
      <c r="C49" s="3" t="s">
        <v>79</v>
      </c>
      <c r="D49" s="3" t="s">
        <v>366</v>
      </c>
      <c r="E49" s="3" t="s">
        <v>367</v>
      </c>
      <c r="F49" s="3" t="n">
        <v>2000</v>
      </c>
      <c r="G49" s="3" t="n">
        <v>3</v>
      </c>
      <c r="H49" s="3" t="n">
        <v>12</v>
      </c>
      <c r="I49" s="3" t="s">
        <v>427</v>
      </c>
    </row>
    <row r="50" customFormat="false" ht="15" hidden="false" customHeight="false" outlineLevel="0" collapsed="false">
      <c r="A50" s="2" t="n">
        <v>50</v>
      </c>
      <c r="B50" s="2" t="s">
        <v>428</v>
      </c>
      <c r="C50" s="2" t="s">
        <v>83</v>
      </c>
      <c r="D50" s="2" t="s">
        <v>370</v>
      </c>
      <c r="E50" s="2" t="s">
        <v>317</v>
      </c>
      <c r="F50" s="2" t="n">
        <v>2200</v>
      </c>
      <c r="G50" s="2" t="n">
        <v>4</v>
      </c>
      <c r="H50" s="2" t="n">
        <v>18</v>
      </c>
      <c r="I50" s="2" t="s">
        <v>429</v>
      </c>
    </row>
    <row r="51" customFormat="false" ht="15" hidden="false" customHeight="false" outlineLevel="0" collapsed="false">
      <c r="A51" s="3" t="n">
        <v>51</v>
      </c>
      <c r="B51" s="3" t="s">
        <v>430</v>
      </c>
      <c r="C51" s="3" t="s">
        <v>107</v>
      </c>
      <c r="D51" s="3" t="s">
        <v>87</v>
      </c>
      <c r="E51" s="3" t="s">
        <v>297</v>
      </c>
      <c r="F51" s="3" t="n">
        <v>2200</v>
      </c>
      <c r="G51" s="3" t="n">
        <v>4</v>
      </c>
      <c r="H51" s="3" t="n">
        <v>20</v>
      </c>
      <c r="I51" s="3" t="s">
        <v>431</v>
      </c>
    </row>
    <row r="52" customFormat="false" ht="15" hidden="false" customHeight="false" outlineLevel="0" collapsed="false">
      <c r="A52" s="2" t="n">
        <v>52</v>
      </c>
      <c r="B52" s="2" t="s">
        <v>432</v>
      </c>
      <c r="C52" s="2" t="s">
        <v>90</v>
      </c>
      <c r="D52" s="2" t="s">
        <v>91</v>
      </c>
      <c r="E52" s="2" t="s">
        <v>375</v>
      </c>
      <c r="F52" s="2" t="n">
        <v>2100</v>
      </c>
      <c r="G52" s="2" t="n">
        <v>4</v>
      </c>
      <c r="H52" s="2" t="n">
        <v>14</v>
      </c>
      <c r="I52" s="2" t="s">
        <v>433</v>
      </c>
    </row>
    <row r="53" customFormat="false" ht="15" hidden="false" customHeight="false" outlineLevel="0" collapsed="false">
      <c r="A53" s="3" t="n">
        <v>53</v>
      </c>
      <c r="B53" s="3" t="s">
        <v>434</v>
      </c>
      <c r="C53" s="3" t="s">
        <v>83</v>
      </c>
      <c r="D53" s="3" t="s">
        <v>94</v>
      </c>
      <c r="E53" s="3" t="s">
        <v>349</v>
      </c>
      <c r="F53" s="3" t="n">
        <v>2100</v>
      </c>
      <c r="G53" s="3" t="n">
        <v>4</v>
      </c>
      <c r="H53" s="3" t="n">
        <v>16</v>
      </c>
      <c r="I53" s="3" t="s">
        <v>435</v>
      </c>
    </row>
    <row r="54" customFormat="false" ht="15" hidden="false" customHeight="false" outlineLevel="0" collapsed="false">
      <c r="A54" s="2" t="n">
        <v>54</v>
      </c>
      <c r="B54" s="2" t="s">
        <v>436</v>
      </c>
      <c r="C54" s="2" t="s">
        <v>83</v>
      </c>
      <c r="D54" s="2" t="s">
        <v>380</v>
      </c>
      <c r="E54" s="2" t="s">
        <v>381</v>
      </c>
      <c r="F54" s="2" t="n">
        <v>2200</v>
      </c>
      <c r="G54" s="2" t="n">
        <v>4</v>
      </c>
      <c r="H54" s="2" t="n">
        <v>20</v>
      </c>
      <c r="I54" s="2" t="s">
        <v>437</v>
      </c>
    </row>
    <row r="55" customFormat="false" ht="15" hidden="false" customHeight="false" outlineLevel="0" collapsed="false">
      <c r="A55" s="3" t="n">
        <v>55</v>
      </c>
      <c r="B55" s="3" t="s">
        <v>438</v>
      </c>
      <c r="C55" s="3" t="s">
        <v>44</v>
      </c>
      <c r="D55" s="3" t="s">
        <v>101</v>
      </c>
      <c r="E55" s="3" t="s">
        <v>384</v>
      </c>
      <c r="F55" s="3" t="n">
        <v>2300</v>
      </c>
      <c r="G55" s="3" t="n">
        <v>4</v>
      </c>
      <c r="H55" s="3" t="n">
        <v>18</v>
      </c>
      <c r="I55" s="3" t="s">
        <v>439</v>
      </c>
    </row>
    <row r="56" customFormat="false" ht="15" hidden="false" customHeight="false" outlineLevel="0" collapsed="false">
      <c r="A56" s="2" t="n">
        <v>56</v>
      </c>
      <c r="B56" s="2" t="s">
        <v>440</v>
      </c>
      <c r="C56" s="2" t="s">
        <v>79</v>
      </c>
      <c r="D56" s="2" t="s">
        <v>173</v>
      </c>
      <c r="E56" s="2" t="s">
        <v>441</v>
      </c>
      <c r="F56" s="2" t="n">
        <v>2000</v>
      </c>
      <c r="G56" s="2" t="n">
        <v>3</v>
      </c>
      <c r="H56" s="2" t="n">
        <v>12</v>
      </c>
      <c r="I56" s="2" t="s">
        <v>442</v>
      </c>
    </row>
    <row r="57" customFormat="false" ht="23.85" hidden="false" customHeight="false" outlineLevel="0" collapsed="false">
      <c r="A57" s="3" t="n">
        <v>57</v>
      </c>
      <c r="B57" s="3" t="s">
        <v>443</v>
      </c>
      <c r="C57" s="3" t="s">
        <v>291</v>
      </c>
      <c r="D57" s="3" t="s">
        <v>292</v>
      </c>
      <c r="E57" s="3" t="s">
        <v>293</v>
      </c>
      <c r="F57" s="3" t="n">
        <v>2000</v>
      </c>
      <c r="G57" s="3" t="n">
        <v>4</v>
      </c>
      <c r="H57" s="3" t="n">
        <v>16</v>
      </c>
      <c r="I57" s="3" t="s">
        <v>444</v>
      </c>
    </row>
    <row r="58" customFormat="false" ht="23.85" hidden="false" customHeight="false" outlineLevel="0" collapsed="false">
      <c r="A58" s="2" t="n">
        <v>58</v>
      </c>
      <c r="B58" s="2" t="s">
        <v>445</v>
      </c>
      <c r="C58" s="2" t="s">
        <v>107</v>
      </c>
      <c r="D58" s="2" t="s">
        <v>296</v>
      </c>
      <c r="E58" s="2" t="s">
        <v>297</v>
      </c>
      <c r="F58" s="2" t="n">
        <v>2100</v>
      </c>
      <c r="G58" s="2" t="n">
        <v>4</v>
      </c>
      <c r="H58" s="2" t="n">
        <v>20</v>
      </c>
      <c r="I58" s="2" t="s">
        <v>446</v>
      </c>
    </row>
    <row r="59" customFormat="false" ht="23.85" hidden="false" customHeight="false" outlineLevel="0" collapsed="false">
      <c r="A59" s="3" t="n">
        <v>59</v>
      </c>
      <c r="B59" s="3" t="s">
        <v>447</v>
      </c>
      <c r="C59" s="3" t="s">
        <v>300</v>
      </c>
      <c r="D59" s="3" t="s">
        <v>301</v>
      </c>
      <c r="E59" s="3" t="s">
        <v>302</v>
      </c>
      <c r="F59" s="3" t="n">
        <v>2200</v>
      </c>
      <c r="G59" s="3" t="n">
        <v>4</v>
      </c>
      <c r="H59" s="3" t="n">
        <v>16</v>
      </c>
      <c r="I59" s="3" t="s">
        <v>448</v>
      </c>
    </row>
    <row r="60" customFormat="false" ht="23.85" hidden="false" customHeight="false" outlineLevel="0" collapsed="false">
      <c r="A60" s="2" t="n">
        <v>60</v>
      </c>
      <c r="B60" s="2" t="s">
        <v>449</v>
      </c>
      <c r="C60" s="2" t="s">
        <v>21</v>
      </c>
      <c r="D60" s="2" t="s">
        <v>305</v>
      </c>
      <c r="E60" s="2" t="s">
        <v>306</v>
      </c>
      <c r="F60" s="2" t="n">
        <v>2300</v>
      </c>
      <c r="G60" s="2" t="n">
        <v>4</v>
      </c>
      <c r="H60" s="2" t="n">
        <v>24</v>
      </c>
      <c r="I60" s="2" t="s">
        <v>450</v>
      </c>
    </row>
    <row r="61" customFormat="false" ht="23.85" hidden="false" customHeight="false" outlineLevel="0" collapsed="false">
      <c r="A61" s="3" t="n">
        <v>61</v>
      </c>
      <c r="B61" s="3" t="s">
        <v>451</v>
      </c>
      <c r="C61" s="3" t="s">
        <v>107</v>
      </c>
      <c r="D61" s="3" t="s">
        <v>309</v>
      </c>
      <c r="E61" s="3" t="s">
        <v>297</v>
      </c>
      <c r="F61" s="3" t="n">
        <v>2200</v>
      </c>
      <c r="G61" s="3" t="n">
        <v>4</v>
      </c>
      <c r="H61" s="3" t="n">
        <v>20</v>
      </c>
      <c r="I61" s="3" t="s">
        <v>452</v>
      </c>
    </row>
    <row r="62" customFormat="false" ht="23.85" hidden="false" customHeight="false" outlineLevel="0" collapsed="false">
      <c r="A62" s="2" t="n">
        <v>62</v>
      </c>
      <c r="B62" s="2" t="s">
        <v>453</v>
      </c>
      <c r="C62" s="2" t="s">
        <v>28</v>
      </c>
      <c r="D62" s="2" t="s">
        <v>312</v>
      </c>
      <c r="E62" s="2" t="s">
        <v>313</v>
      </c>
      <c r="F62" s="2" t="n">
        <v>2100</v>
      </c>
      <c r="G62" s="2" t="n">
        <v>3</v>
      </c>
      <c r="H62" s="2" t="n">
        <v>16</v>
      </c>
      <c r="I62" s="2" t="s">
        <v>454</v>
      </c>
    </row>
    <row r="63" customFormat="false" ht="15" hidden="false" customHeight="false" outlineLevel="0" collapsed="false">
      <c r="A63" s="3" t="n">
        <v>63</v>
      </c>
      <c r="B63" s="3" t="s">
        <v>455</v>
      </c>
      <c r="C63" s="3" t="s">
        <v>83</v>
      </c>
      <c r="D63" s="3" t="s">
        <v>316</v>
      </c>
      <c r="E63" s="3" t="s">
        <v>317</v>
      </c>
      <c r="F63" s="3" t="n">
        <v>2000</v>
      </c>
      <c r="G63" s="3" t="n">
        <v>4</v>
      </c>
      <c r="H63" s="3" t="n">
        <v>18</v>
      </c>
      <c r="I63" s="3" t="s">
        <v>456</v>
      </c>
    </row>
    <row r="64" customFormat="false" ht="15" hidden="false" customHeight="false" outlineLevel="0" collapsed="false">
      <c r="A64" s="2" t="n">
        <v>64</v>
      </c>
      <c r="B64" s="2" t="s">
        <v>457</v>
      </c>
      <c r="C64" s="2" t="s">
        <v>320</v>
      </c>
      <c r="D64" s="2" t="s">
        <v>321</v>
      </c>
      <c r="E64" s="2" t="s">
        <v>322</v>
      </c>
      <c r="F64" s="2" t="n">
        <v>2100</v>
      </c>
      <c r="G64" s="2" t="n">
        <v>4</v>
      </c>
      <c r="H64" s="2" t="n">
        <v>18</v>
      </c>
      <c r="I64" s="2" t="s">
        <v>458</v>
      </c>
    </row>
    <row r="65" customFormat="false" ht="23.85" hidden="false" customHeight="false" outlineLevel="0" collapsed="false">
      <c r="A65" s="3" t="n">
        <v>65</v>
      </c>
      <c r="B65" s="3" t="s">
        <v>459</v>
      </c>
      <c r="C65" s="3" t="s">
        <v>40</v>
      </c>
      <c r="D65" s="3" t="s">
        <v>324</v>
      </c>
      <c r="E65" s="3" t="s">
        <v>325</v>
      </c>
      <c r="F65" s="3" t="n">
        <v>2200</v>
      </c>
      <c r="G65" s="3" t="n">
        <v>4</v>
      </c>
      <c r="H65" s="3" t="n">
        <v>16</v>
      </c>
      <c r="I65" s="3" t="s">
        <v>460</v>
      </c>
    </row>
    <row r="66" customFormat="false" ht="15" hidden="false" customHeight="false" outlineLevel="0" collapsed="false">
      <c r="A66" s="2" t="n">
        <v>66</v>
      </c>
      <c r="B66" s="2" t="s">
        <v>461</v>
      </c>
      <c r="C66" s="2" t="s">
        <v>44</v>
      </c>
      <c r="D66" s="2" t="s">
        <v>327</v>
      </c>
      <c r="E66" s="2" t="s">
        <v>328</v>
      </c>
      <c r="F66" s="2" t="n">
        <v>2300</v>
      </c>
      <c r="G66" s="2" t="n">
        <v>4</v>
      </c>
      <c r="H66" s="2" t="n">
        <v>16</v>
      </c>
      <c r="I66" s="2" t="s">
        <v>462</v>
      </c>
    </row>
    <row r="67" customFormat="false" ht="23.85" hidden="false" customHeight="false" outlineLevel="0" collapsed="false">
      <c r="A67" s="3" t="n">
        <v>67</v>
      </c>
      <c r="B67" s="3" t="s">
        <v>463</v>
      </c>
      <c r="C67" s="3" t="s">
        <v>36</v>
      </c>
      <c r="D67" s="3" t="s">
        <v>331</v>
      </c>
      <c r="E67" s="3" t="s">
        <v>332</v>
      </c>
      <c r="F67" s="3" t="n">
        <v>2100</v>
      </c>
      <c r="G67" s="3" t="n">
        <v>4</v>
      </c>
      <c r="H67" s="3" t="n">
        <v>14</v>
      </c>
      <c r="I67" s="3" t="s">
        <v>464</v>
      </c>
    </row>
    <row r="68" customFormat="false" ht="15" hidden="false" customHeight="false" outlineLevel="0" collapsed="false">
      <c r="A68" s="2" t="n">
        <v>68</v>
      </c>
      <c r="B68" s="2" t="s">
        <v>465</v>
      </c>
      <c r="C68" s="2" t="s">
        <v>40</v>
      </c>
      <c r="D68" s="2" t="s">
        <v>335</v>
      </c>
      <c r="E68" s="2" t="s">
        <v>336</v>
      </c>
      <c r="F68" s="2" t="n">
        <v>2200</v>
      </c>
      <c r="G68" s="2" t="n">
        <v>4</v>
      </c>
      <c r="H68" s="2" t="n">
        <v>16</v>
      </c>
      <c r="I68" s="2" t="s">
        <v>466</v>
      </c>
    </row>
    <row r="69" customFormat="false" ht="15" hidden="false" customHeight="false" outlineLevel="0" collapsed="false">
      <c r="A69" s="3" t="n">
        <v>69</v>
      </c>
      <c r="B69" s="3" t="s">
        <v>467</v>
      </c>
      <c r="C69" s="3" t="s">
        <v>44</v>
      </c>
      <c r="D69" s="3" t="s">
        <v>339</v>
      </c>
      <c r="E69" s="3" t="s">
        <v>340</v>
      </c>
      <c r="F69" s="3" t="n">
        <v>2200</v>
      </c>
      <c r="G69" s="3" t="n">
        <v>4</v>
      </c>
      <c r="H69" s="3" t="n">
        <v>16</v>
      </c>
      <c r="I69" s="3" t="s">
        <v>468</v>
      </c>
    </row>
    <row r="70" customFormat="false" ht="23.85" hidden="false" customHeight="false" outlineLevel="0" collapsed="false">
      <c r="A70" s="2" t="n">
        <v>70</v>
      </c>
      <c r="B70" s="2" t="s">
        <v>469</v>
      </c>
      <c r="C70" s="2" t="s">
        <v>343</v>
      </c>
      <c r="D70" s="2" t="s">
        <v>344</v>
      </c>
      <c r="E70" s="2" t="s">
        <v>345</v>
      </c>
      <c r="F70" s="2" t="n">
        <v>2100</v>
      </c>
      <c r="G70" s="2" t="n">
        <v>4</v>
      </c>
      <c r="H70" s="2" t="n">
        <v>20</v>
      </c>
      <c r="I70" s="2" t="s">
        <v>470</v>
      </c>
    </row>
    <row r="71" customFormat="false" ht="15" hidden="false" customHeight="false" outlineLevel="0" collapsed="false">
      <c r="A71" s="3" t="n">
        <v>71</v>
      </c>
      <c r="B71" s="3" t="s">
        <v>471</v>
      </c>
      <c r="C71" s="3" t="s">
        <v>145</v>
      </c>
      <c r="D71" s="3" t="s">
        <v>348</v>
      </c>
      <c r="E71" s="3" t="s">
        <v>349</v>
      </c>
      <c r="F71" s="3" t="n">
        <v>2200</v>
      </c>
      <c r="G71" s="3" t="n">
        <v>4</v>
      </c>
      <c r="H71" s="3" t="n">
        <v>18</v>
      </c>
      <c r="I71" s="3" t="s">
        <v>472</v>
      </c>
    </row>
    <row r="72" customFormat="false" ht="15" hidden="false" customHeight="false" outlineLevel="0" collapsed="false">
      <c r="A72" s="2" t="n">
        <v>72</v>
      </c>
      <c r="B72" s="2" t="s">
        <v>473</v>
      </c>
      <c r="C72" s="2" t="s">
        <v>36</v>
      </c>
      <c r="D72" s="2" t="s">
        <v>352</v>
      </c>
      <c r="E72" s="2" t="s">
        <v>353</v>
      </c>
      <c r="F72" s="2" t="n">
        <v>2300</v>
      </c>
      <c r="G72" s="2" t="n">
        <v>4</v>
      </c>
      <c r="H72" s="2" t="n">
        <v>18</v>
      </c>
      <c r="I72" s="2" t="s">
        <v>474</v>
      </c>
    </row>
    <row r="73" customFormat="false" ht="23.85" hidden="false" customHeight="false" outlineLevel="0" collapsed="false">
      <c r="A73" s="3" t="n">
        <v>73</v>
      </c>
      <c r="B73" s="3" t="s">
        <v>475</v>
      </c>
      <c r="C73" s="3" t="s">
        <v>355</v>
      </c>
      <c r="D73" s="3" t="s">
        <v>356</v>
      </c>
      <c r="E73" s="3" t="s">
        <v>357</v>
      </c>
      <c r="F73" s="3" t="n">
        <v>2400</v>
      </c>
      <c r="G73" s="3" t="n">
        <v>4</v>
      </c>
      <c r="H73" s="3" t="n">
        <v>20</v>
      </c>
      <c r="I73" s="3" t="s">
        <v>476</v>
      </c>
    </row>
    <row r="74" customFormat="false" ht="15" hidden="false" customHeight="false" outlineLevel="0" collapsed="false">
      <c r="A74" s="2" t="n">
        <v>74</v>
      </c>
      <c r="B74" s="2" t="s">
        <v>477</v>
      </c>
      <c r="C74" s="2" t="s">
        <v>57</v>
      </c>
      <c r="D74" s="2" t="s">
        <v>71</v>
      </c>
      <c r="E74" s="2" t="s">
        <v>359</v>
      </c>
      <c r="F74" s="2" t="n">
        <v>2200</v>
      </c>
      <c r="G74" s="2" t="n">
        <v>4</v>
      </c>
      <c r="H74" s="2" t="n">
        <v>16</v>
      </c>
      <c r="I74" s="2" t="s">
        <v>478</v>
      </c>
    </row>
    <row r="75" customFormat="false" ht="15" hidden="false" customHeight="false" outlineLevel="0" collapsed="false">
      <c r="A75" s="3" t="n">
        <v>75</v>
      </c>
      <c r="B75" s="3" t="s">
        <v>479</v>
      </c>
      <c r="C75" s="3" t="s">
        <v>57</v>
      </c>
      <c r="D75" s="3" t="s">
        <v>71</v>
      </c>
      <c r="E75" s="3" t="s">
        <v>359</v>
      </c>
      <c r="F75" s="3" t="n">
        <v>2200</v>
      </c>
      <c r="G75" s="3" t="n">
        <v>4</v>
      </c>
      <c r="H75" s="3" t="n">
        <v>16</v>
      </c>
      <c r="I75" s="3" t="s">
        <v>480</v>
      </c>
    </row>
    <row r="76" customFormat="false" ht="15" hidden="false" customHeight="false" outlineLevel="0" collapsed="false">
      <c r="A76" s="2" t="n">
        <v>76</v>
      </c>
      <c r="B76" s="2" t="s">
        <v>481</v>
      </c>
      <c r="C76" s="2" t="s">
        <v>36</v>
      </c>
      <c r="D76" s="2" t="s">
        <v>363</v>
      </c>
      <c r="E76" s="2" t="s">
        <v>364</v>
      </c>
      <c r="F76" s="2" t="n">
        <v>2100</v>
      </c>
      <c r="G76" s="2" t="n">
        <v>4</v>
      </c>
      <c r="H76" s="2" t="n">
        <v>16</v>
      </c>
      <c r="I76" s="2" t="s">
        <v>482</v>
      </c>
    </row>
    <row r="77" customFormat="false" ht="15" hidden="false" customHeight="false" outlineLevel="0" collapsed="false">
      <c r="A77" s="3" t="n">
        <v>77</v>
      </c>
      <c r="B77" s="3" t="s">
        <v>483</v>
      </c>
      <c r="C77" s="3" t="s">
        <v>79</v>
      </c>
      <c r="D77" s="3" t="s">
        <v>366</v>
      </c>
      <c r="E77" s="3" t="s">
        <v>367</v>
      </c>
      <c r="F77" s="3" t="n">
        <v>2000</v>
      </c>
      <c r="G77" s="3" t="n">
        <v>3</v>
      </c>
      <c r="H77" s="3" t="n">
        <v>12</v>
      </c>
      <c r="I77" s="3" t="s">
        <v>484</v>
      </c>
    </row>
    <row r="78" customFormat="false" ht="15" hidden="false" customHeight="false" outlineLevel="0" collapsed="false">
      <c r="A78" s="2" t="n">
        <v>78</v>
      </c>
      <c r="B78" s="2" t="s">
        <v>485</v>
      </c>
      <c r="C78" s="2" t="s">
        <v>83</v>
      </c>
      <c r="D78" s="2" t="s">
        <v>370</v>
      </c>
      <c r="E78" s="2" t="s">
        <v>317</v>
      </c>
      <c r="F78" s="2" t="n">
        <v>2200</v>
      </c>
      <c r="G78" s="2" t="n">
        <v>4</v>
      </c>
      <c r="H78" s="2" t="n">
        <v>18</v>
      </c>
      <c r="I78" s="2" t="s">
        <v>486</v>
      </c>
    </row>
    <row r="79" customFormat="false" ht="15" hidden="false" customHeight="false" outlineLevel="0" collapsed="false">
      <c r="A79" s="3" t="n">
        <v>79</v>
      </c>
      <c r="B79" s="3" t="s">
        <v>487</v>
      </c>
      <c r="C79" s="3" t="s">
        <v>107</v>
      </c>
      <c r="D79" s="3" t="s">
        <v>87</v>
      </c>
      <c r="E79" s="3" t="s">
        <v>297</v>
      </c>
      <c r="F79" s="3" t="n">
        <v>2200</v>
      </c>
      <c r="G79" s="3" t="n">
        <v>4</v>
      </c>
      <c r="H79" s="3" t="n">
        <v>20</v>
      </c>
      <c r="I79" s="3" t="s">
        <v>488</v>
      </c>
    </row>
    <row r="80" customFormat="false" ht="15" hidden="false" customHeight="false" outlineLevel="0" collapsed="false">
      <c r="A80" s="2" t="n">
        <v>80</v>
      </c>
      <c r="B80" s="2" t="s">
        <v>489</v>
      </c>
      <c r="C80" s="2" t="s">
        <v>90</v>
      </c>
      <c r="D80" s="2" t="s">
        <v>91</v>
      </c>
      <c r="E80" s="2" t="s">
        <v>375</v>
      </c>
      <c r="F80" s="2" t="n">
        <v>2100</v>
      </c>
      <c r="G80" s="2" t="n">
        <v>4</v>
      </c>
      <c r="H80" s="2" t="n">
        <v>14</v>
      </c>
      <c r="I80" s="2" t="s">
        <v>490</v>
      </c>
    </row>
    <row r="81" customFormat="false" ht="15" hidden="false" customHeight="false" outlineLevel="0" collapsed="false">
      <c r="A81" s="3" t="n">
        <v>81</v>
      </c>
      <c r="B81" s="3" t="s">
        <v>491</v>
      </c>
      <c r="C81" s="3" t="s">
        <v>83</v>
      </c>
      <c r="D81" s="3" t="s">
        <v>94</v>
      </c>
      <c r="E81" s="3" t="s">
        <v>349</v>
      </c>
      <c r="F81" s="3" t="n">
        <v>2100</v>
      </c>
      <c r="G81" s="3" t="n">
        <v>4</v>
      </c>
      <c r="H81" s="3" t="n">
        <v>16</v>
      </c>
      <c r="I81" s="3" t="s">
        <v>492</v>
      </c>
    </row>
    <row r="82" customFormat="false" ht="15" hidden="false" customHeight="false" outlineLevel="0" collapsed="false">
      <c r="A82" s="2" t="n">
        <v>82</v>
      </c>
      <c r="B82" s="2" t="s">
        <v>493</v>
      </c>
      <c r="C82" s="2" t="s">
        <v>83</v>
      </c>
      <c r="D82" s="2" t="s">
        <v>380</v>
      </c>
      <c r="E82" s="2" t="s">
        <v>381</v>
      </c>
      <c r="F82" s="2" t="n">
        <v>2200</v>
      </c>
      <c r="G82" s="2" t="n">
        <v>4</v>
      </c>
      <c r="H82" s="2" t="n">
        <v>20</v>
      </c>
      <c r="I82" s="2" t="s">
        <v>494</v>
      </c>
    </row>
    <row r="83" customFormat="false" ht="15" hidden="false" customHeight="false" outlineLevel="0" collapsed="false">
      <c r="A83" s="3" t="n">
        <v>83</v>
      </c>
      <c r="B83" s="3" t="s">
        <v>495</v>
      </c>
      <c r="C83" s="3" t="s">
        <v>44</v>
      </c>
      <c r="D83" s="3" t="s">
        <v>101</v>
      </c>
      <c r="E83" s="3" t="s">
        <v>384</v>
      </c>
      <c r="F83" s="3" t="n">
        <v>2300</v>
      </c>
      <c r="G83" s="3" t="n">
        <v>4</v>
      </c>
      <c r="H83" s="3" t="n">
        <v>18</v>
      </c>
      <c r="I83" s="3" t="s">
        <v>496</v>
      </c>
    </row>
    <row r="84" customFormat="false" ht="15" hidden="false" customHeight="false" outlineLevel="0" collapsed="false">
      <c r="A84" s="2" t="n">
        <v>84</v>
      </c>
      <c r="B84" s="2" t="s">
        <v>497</v>
      </c>
      <c r="C84" s="2" t="s">
        <v>79</v>
      </c>
      <c r="D84" s="2" t="s">
        <v>173</v>
      </c>
      <c r="E84" s="2" t="s">
        <v>441</v>
      </c>
      <c r="F84" s="2" t="n">
        <v>2000</v>
      </c>
      <c r="G84" s="2" t="n">
        <v>3</v>
      </c>
      <c r="H84" s="2" t="n">
        <v>12</v>
      </c>
      <c r="I84" s="2" t="s">
        <v>498</v>
      </c>
    </row>
    <row r="85" customFormat="false" ht="23.85" hidden="false" customHeight="false" outlineLevel="0" collapsed="false">
      <c r="A85" s="3" t="n">
        <v>85</v>
      </c>
      <c r="B85" s="3" t="s">
        <v>499</v>
      </c>
      <c r="C85" s="3" t="s">
        <v>291</v>
      </c>
      <c r="D85" s="3" t="s">
        <v>292</v>
      </c>
      <c r="E85" s="3" t="s">
        <v>293</v>
      </c>
      <c r="F85" s="3" t="n">
        <v>2000</v>
      </c>
      <c r="G85" s="3" t="n">
        <v>4</v>
      </c>
      <c r="H85" s="3" t="n">
        <v>16</v>
      </c>
      <c r="I85" s="3" t="s">
        <v>500</v>
      </c>
    </row>
    <row r="86" customFormat="false" ht="23.85" hidden="false" customHeight="false" outlineLevel="0" collapsed="false">
      <c r="A86" s="2" t="n">
        <v>86</v>
      </c>
      <c r="B86" s="2" t="s">
        <v>501</v>
      </c>
      <c r="C86" s="2" t="s">
        <v>107</v>
      </c>
      <c r="D86" s="2" t="s">
        <v>296</v>
      </c>
      <c r="E86" s="2" t="s">
        <v>297</v>
      </c>
      <c r="F86" s="2" t="n">
        <v>2100</v>
      </c>
      <c r="G86" s="2" t="n">
        <v>4</v>
      </c>
      <c r="H86" s="2" t="n">
        <v>20</v>
      </c>
      <c r="I86" s="2" t="s">
        <v>502</v>
      </c>
    </row>
    <row r="87" customFormat="false" ht="23.85" hidden="false" customHeight="false" outlineLevel="0" collapsed="false">
      <c r="A87" s="3" t="n">
        <v>87</v>
      </c>
      <c r="B87" s="3" t="s">
        <v>503</v>
      </c>
      <c r="C87" s="3" t="s">
        <v>300</v>
      </c>
      <c r="D87" s="3" t="s">
        <v>301</v>
      </c>
      <c r="E87" s="3" t="s">
        <v>302</v>
      </c>
      <c r="F87" s="3" t="n">
        <v>2200</v>
      </c>
      <c r="G87" s="3" t="n">
        <v>4</v>
      </c>
      <c r="H87" s="3" t="n">
        <v>16</v>
      </c>
      <c r="I87" s="3" t="s">
        <v>504</v>
      </c>
    </row>
    <row r="88" customFormat="false" ht="23.85" hidden="false" customHeight="false" outlineLevel="0" collapsed="false">
      <c r="A88" s="2" t="n">
        <v>88</v>
      </c>
      <c r="B88" s="2" t="s">
        <v>505</v>
      </c>
      <c r="C88" s="2" t="s">
        <v>21</v>
      </c>
      <c r="D88" s="2" t="s">
        <v>305</v>
      </c>
      <c r="E88" s="2" t="s">
        <v>306</v>
      </c>
      <c r="F88" s="2" t="n">
        <v>2300</v>
      </c>
      <c r="G88" s="2" t="n">
        <v>4</v>
      </c>
      <c r="H88" s="2" t="n">
        <v>24</v>
      </c>
      <c r="I88" s="2" t="s">
        <v>506</v>
      </c>
    </row>
    <row r="89" customFormat="false" ht="23.85" hidden="false" customHeight="false" outlineLevel="0" collapsed="false">
      <c r="A89" s="3" t="n">
        <v>89</v>
      </c>
      <c r="B89" s="3" t="s">
        <v>507</v>
      </c>
      <c r="C89" s="3" t="s">
        <v>107</v>
      </c>
      <c r="D89" s="3" t="s">
        <v>309</v>
      </c>
      <c r="E89" s="3" t="s">
        <v>297</v>
      </c>
      <c r="F89" s="3" t="n">
        <v>2200</v>
      </c>
      <c r="G89" s="3" t="n">
        <v>4</v>
      </c>
      <c r="H89" s="3" t="n">
        <v>20</v>
      </c>
      <c r="I89" s="3" t="s">
        <v>508</v>
      </c>
    </row>
    <row r="90" customFormat="false" ht="23.85" hidden="false" customHeight="false" outlineLevel="0" collapsed="false">
      <c r="A90" s="2" t="n">
        <v>90</v>
      </c>
      <c r="B90" s="2" t="s">
        <v>509</v>
      </c>
      <c r="C90" s="2" t="s">
        <v>28</v>
      </c>
      <c r="D90" s="2" t="s">
        <v>312</v>
      </c>
      <c r="E90" s="2" t="s">
        <v>313</v>
      </c>
      <c r="F90" s="2" t="n">
        <v>2100</v>
      </c>
      <c r="G90" s="2" t="n">
        <v>3</v>
      </c>
      <c r="H90" s="2" t="n">
        <v>16</v>
      </c>
      <c r="I90" s="2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511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5" hidden="false" customHeight="false" outlineLevel="0" collapsed="false">
      <c r="A2" s="2" t="n">
        <v>1</v>
      </c>
      <c r="B2" s="2" t="s">
        <v>512</v>
      </c>
      <c r="C2" s="2" t="s">
        <v>9</v>
      </c>
      <c r="D2" s="2" t="s">
        <v>331</v>
      </c>
      <c r="E2" s="2" t="s">
        <v>513</v>
      </c>
      <c r="F2" s="2" t="n">
        <v>2000</v>
      </c>
      <c r="G2" s="2" t="n">
        <v>4</v>
      </c>
      <c r="H2" s="2" t="n">
        <v>8</v>
      </c>
      <c r="I2" s="2" t="s">
        <v>514</v>
      </c>
    </row>
    <row r="3" customFormat="false" ht="15" hidden="false" customHeight="false" outlineLevel="0" collapsed="false">
      <c r="A3" s="3" t="n">
        <v>2</v>
      </c>
      <c r="B3" s="3" t="s">
        <v>515</v>
      </c>
      <c r="C3" s="3" t="s">
        <v>13</v>
      </c>
      <c r="D3" s="3" t="s">
        <v>516</v>
      </c>
      <c r="E3" s="3" t="s">
        <v>517</v>
      </c>
      <c r="F3" s="3" t="n">
        <v>2100</v>
      </c>
      <c r="G3" s="3" t="n">
        <v>4</v>
      </c>
      <c r="H3" s="3" t="n">
        <v>8</v>
      </c>
      <c r="I3" s="3" t="s">
        <v>518</v>
      </c>
    </row>
    <row r="4" customFormat="false" ht="15" hidden="false" customHeight="false" outlineLevel="0" collapsed="false">
      <c r="A4" s="2" t="n">
        <v>3</v>
      </c>
      <c r="B4" s="2" t="s">
        <v>519</v>
      </c>
      <c r="C4" s="2" t="s">
        <v>17</v>
      </c>
      <c r="D4" s="2" t="s">
        <v>520</v>
      </c>
      <c r="E4" s="2" t="s">
        <v>521</v>
      </c>
      <c r="F4" s="2" t="n">
        <v>2200</v>
      </c>
      <c r="G4" s="2" t="n">
        <v>4</v>
      </c>
      <c r="H4" s="2" t="n">
        <v>7</v>
      </c>
      <c r="I4" s="2" t="s">
        <v>522</v>
      </c>
    </row>
    <row r="5" customFormat="false" ht="15" hidden="false" customHeight="false" outlineLevel="0" collapsed="false">
      <c r="A5" s="3" t="n">
        <v>4</v>
      </c>
      <c r="B5" s="3" t="s">
        <v>523</v>
      </c>
      <c r="C5" s="3" t="s">
        <v>21</v>
      </c>
      <c r="D5" s="3" t="s">
        <v>524</v>
      </c>
      <c r="E5" s="3" t="s">
        <v>525</v>
      </c>
      <c r="F5" s="3" t="n">
        <v>2300</v>
      </c>
      <c r="G5" s="3" t="n">
        <v>4</v>
      </c>
      <c r="H5" s="3" t="n">
        <v>8</v>
      </c>
      <c r="I5" s="3" t="s">
        <v>526</v>
      </c>
    </row>
    <row r="6" customFormat="false" ht="15" hidden="false" customHeight="false" outlineLevel="0" collapsed="false">
      <c r="A6" s="2" t="n">
        <v>5</v>
      </c>
      <c r="B6" s="2" t="s">
        <v>24</v>
      </c>
      <c r="C6" s="2" t="s">
        <v>13</v>
      </c>
      <c r="D6" s="2" t="s">
        <v>527</v>
      </c>
      <c r="E6" s="2" t="s">
        <v>528</v>
      </c>
      <c r="F6" s="2" t="n">
        <v>2200</v>
      </c>
      <c r="G6" s="2" t="n">
        <v>4</v>
      </c>
      <c r="H6" s="2" t="n">
        <v>8</v>
      </c>
      <c r="I6" s="2" t="s">
        <v>529</v>
      </c>
    </row>
    <row r="7" customFormat="false" ht="15" hidden="false" customHeight="false" outlineLevel="0" collapsed="false">
      <c r="A7" s="3" t="n">
        <v>6</v>
      </c>
      <c r="B7" s="3" t="s">
        <v>530</v>
      </c>
      <c r="C7" s="3" t="s">
        <v>28</v>
      </c>
      <c r="D7" s="3" t="s">
        <v>531</v>
      </c>
      <c r="E7" s="3" t="s">
        <v>532</v>
      </c>
      <c r="F7" s="3" t="n">
        <v>2100</v>
      </c>
      <c r="G7" s="3" t="n">
        <v>3</v>
      </c>
      <c r="H7" s="3" t="n">
        <v>6</v>
      </c>
      <c r="I7" s="3" t="s">
        <v>533</v>
      </c>
    </row>
    <row r="8" customFormat="false" ht="15" hidden="false" customHeight="false" outlineLevel="0" collapsed="false">
      <c r="A8" s="2" t="n">
        <v>7</v>
      </c>
      <c r="B8" s="2" t="s">
        <v>534</v>
      </c>
      <c r="C8" s="2" t="s">
        <v>32</v>
      </c>
      <c r="D8" s="2" t="s">
        <v>370</v>
      </c>
      <c r="E8" s="2" t="s">
        <v>535</v>
      </c>
      <c r="F8" s="2" t="n">
        <v>2000</v>
      </c>
      <c r="G8" s="2" t="n">
        <v>4</v>
      </c>
      <c r="H8" s="2" t="n">
        <v>6</v>
      </c>
      <c r="I8" s="2" t="s">
        <v>536</v>
      </c>
    </row>
    <row r="9" customFormat="false" ht="15" hidden="false" customHeight="false" outlineLevel="0" collapsed="false">
      <c r="A9" s="3" t="n">
        <v>8</v>
      </c>
      <c r="B9" s="3" t="s">
        <v>537</v>
      </c>
      <c r="C9" s="3" t="s">
        <v>36</v>
      </c>
      <c r="D9" s="3" t="s">
        <v>538</v>
      </c>
      <c r="E9" s="3" t="s">
        <v>539</v>
      </c>
      <c r="F9" s="3" t="n">
        <v>2100</v>
      </c>
      <c r="G9" s="3" t="n">
        <v>4</v>
      </c>
      <c r="H9" s="3" t="n">
        <v>6</v>
      </c>
      <c r="I9" s="3" t="s">
        <v>540</v>
      </c>
    </row>
    <row r="10" customFormat="false" ht="15" hidden="false" customHeight="false" outlineLevel="0" collapsed="false">
      <c r="A10" s="2" t="n">
        <v>9</v>
      </c>
      <c r="B10" s="2" t="s">
        <v>541</v>
      </c>
      <c r="C10" s="2" t="s">
        <v>40</v>
      </c>
      <c r="D10" s="2" t="s">
        <v>542</v>
      </c>
      <c r="E10" s="2" t="s">
        <v>543</v>
      </c>
      <c r="F10" s="2" t="n">
        <v>2200</v>
      </c>
      <c r="G10" s="2" t="n">
        <v>4</v>
      </c>
      <c r="H10" s="2" t="n">
        <v>7</v>
      </c>
      <c r="I10" s="2" t="s">
        <v>544</v>
      </c>
    </row>
    <row r="11" customFormat="false" ht="15" hidden="false" customHeight="false" outlineLevel="0" collapsed="false">
      <c r="A11" s="3" t="n">
        <v>10</v>
      </c>
      <c r="B11" s="3" t="s">
        <v>545</v>
      </c>
      <c r="C11" s="3" t="s">
        <v>40</v>
      </c>
      <c r="D11" s="3" t="s">
        <v>546</v>
      </c>
      <c r="E11" s="3" t="s">
        <v>547</v>
      </c>
      <c r="F11" s="3" t="n">
        <v>2300</v>
      </c>
      <c r="G11" s="3" t="n">
        <v>4</v>
      </c>
      <c r="H11" s="3" t="n">
        <v>8</v>
      </c>
      <c r="I11" s="3" t="s">
        <v>548</v>
      </c>
    </row>
    <row r="12" customFormat="false" ht="15" hidden="false" customHeight="false" outlineLevel="0" collapsed="false">
      <c r="A12" s="2" t="n">
        <v>11</v>
      </c>
      <c r="B12" s="2" t="s">
        <v>549</v>
      </c>
      <c r="C12" s="2" t="s">
        <v>36</v>
      </c>
      <c r="D12" s="2" t="s">
        <v>292</v>
      </c>
      <c r="E12" s="2" t="s">
        <v>525</v>
      </c>
      <c r="F12" s="2" t="n">
        <v>2100</v>
      </c>
      <c r="G12" s="2" t="n">
        <v>4</v>
      </c>
      <c r="H12" s="2" t="n">
        <v>5</v>
      </c>
      <c r="I12" s="2" t="s">
        <v>550</v>
      </c>
    </row>
    <row r="13" customFormat="false" ht="15" hidden="false" customHeight="false" outlineLevel="0" collapsed="false">
      <c r="A13" s="3" t="n">
        <v>12</v>
      </c>
      <c r="B13" s="3" t="s">
        <v>551</v>
      </c>
      <c r="C13" s="3" t="s">
        <v>40</v>
      </c>
      <c r="D13" s="3" t="s">
        <v>552</v>
      </c>
      <c r="E13" s="3" t="s">
        <v>553</v>
      </c>
      <c r="F13" s="3" t="n">
        <v>2200</v>
      </c>
      <c r="G13" s="3" t="n">
        <v>4</v>
      </c>
      <c r="H13" s="3" t="n">
        <v>8</v>
      </c>
      <c r="I13" s="3" t="s">
        <v>168</v>
      </c>
    </row>
    <row r="14" customFormat="false" ht="15" hidden="false" customHeight="false" outlineLevel="0" collapsed="false">
      <c r="A14" s="2" t="n">
        <v>13</v>
      </c>
      <c r="B14" s="2" t="s">
        <v>554</v>
      </c>
      <c r="C14" s="2" t="s">
        <v>44</v>
      </c>
      <c r="D14" s="2" t="s">
        <v>555</v>
      </c>
      <c r="E14" s="2" t="s">
        <v>556</v>
      </c>
      <c r="F14" s="2" t="n">
        <v>2200</v>
      </c>
      <c r="G14" s="2" t="n">
        <v>4</v>
      </c>
      <c r="H14" s="2" t="n">
        <v>7</v>
      </c>
      <c r="I14" s="2" t="s">
        <v>557</v>
      </c>
    </row>
    <row r="15" customFormat="false" ht="15" hidden="false" customHeight="false" outlineLevel="0" collapsed="false">
      <c r="A15" s="3" t="n">
        <v>14</v>
      </c>
      <c r="B15" s="3" t="s">
        <v>558</v>
      </c>
      <c r="C15" s="3" t="s">
        <v>57</v>
      </c>
      <c r="D15" s="3" t="s">
        <v>559</v>
      </c>
      <c r="E15" s="3" t="s">
        <v>560</v>
      </c>
      <c r="F15" s="3" t="n">
        <v>2100</v>
      </c>
      <c r="G15" s="3" t="n">
        <v>4</v>
      </c>
      <c r="H15" s="3" t="n">
        <v>6</v>
      </c>
      <c r="I15" s="3" t="s">
        <v>561</v>
      </c>
    </row>
    <row r="16" customFormat="false" ht="15" hidden="false" customHeight="false" outlineLevel="0" collapsed="false">
      <c r="A16" s="2" t="n">
        <v>15</v>
      </c>
      <c r="B16" s="2" t="s">
        <v>562</v>
      </c>
      <c r="C16" s="2" t="s">
        <v>145</v>
      </c>
      <c r="D16" s="2" t="s">
        <v>146</v>
      </c>
      <c r="E16" s="2" t="s">
        <v>563</v>
      </c>
      <c r="F16" s="2" t="n">
        <v>2200</v>
      </c>
      <c r="G16" s="2" t="n">
        <v>4</v>
      </c>
      <c r="H16" s="2" t="n">
        <v>7</v>
      </c>
      <c r="I16" s="2" t="s">
        <v>564</v>
      </c>
    </row>
    <row r="17" customFormat="false" ht="15" hidden="false" customHeight="false" outlineLevel="0" collapsed="false">
      <c r="A17" s="3" t="n">
        <v>16</v>
      </c>
      <c r="B17" s="3" t="s">
        <v>565</v>
      </c>
      <c r="C17" s="3" t="s">
        <v>57</v>
      </c>
      <c r="D17" s="3" t="s">
        <v>566</v>
      </c>
      <c r="E17" s="3" t="s">
        <v>567</v>
      </c>
      <c r="F17" s="3" t="n">
        <v>2300</v>
      </c>
      <c r="G17" s="3" t="n">
        <v>4</v>
      </c>
      <c r="H17" s="3" t="n">
        <v>8</v>
      </c>
      <c r="I17" s="3" t="s">
        <v>568</v>
      </c>
    </row>
    <row r="18" customFormat="false" ht="15" hidden="false" customHeight="false" outlineLevel="0" collapsed="false">
      <c r="A18" s="2" t="n">
        <v>17</v>
      </c>
      <c r="B18" s="2" t="s">
        <v>569</v>
      </c>
      <c r="C18" s="2" t="s">
        <v>40</v>
      </c>
      <c r="D18" s="2" t="s">
        <v>570</v>
      </c>
      <c r="E18" s="2" t="s">
        <v>571</v>
      </c>
      <c r="F18" s="2" t="n">
        <v>2400</v>
      </c>
      <c r="G18" s="2" t="n">
        <v>4</v>
      </c>
      <c r="H18" s="2" t="n">
        <v>8</v>
      </c>
      <c r="I18" s="2" t="s">
        <v>572</v>
      </c>
    </row>
    <row r="19" customFormat="false" ht="15" hidden="false" customHeight="false" outlineLevel="0" collapsed="false">
      <c r="A19" s="3" t="n">
        <v>18</v>
      </c>
      <c r="B19" s="3" t="s">
        <v>573</v>
      </c>
      <c r="C19" s="3" t="s">
        <v>57</v>
      </c>
      <c r="D19" s="3" t="s">
        <v>71</v>
      </c>
      <c r="E19" s="3" t="s">
        <v>574</v>
      </c>
      <c r="F19" s="3" t="n">
        <v>2200</v>
      </c>
      <c r="G19" s="3" t="n">
        <v>4</v>
      </c>
      <c r="H19" s="3" t="n">
        <v>7</v>
      </c>
      <c r="I19" s="3" t="s">
        <v>575</v>
      </c>
    </row>
    <row r="20" customFormat="false" ht="15" hidden="false" customHeight="false" outlineLevel="0" collapsed="false">
      <c r="A20" s="2" t="n">
        <v>19</v>
      </c>
      <c r="B20" s="2" t="s">
        <v>576</v>
      </c>
      <c r="C20" s="2" t="s">
        <v>57</v>
      </c>
      <c r="D20" s="2" t="s">
        <v>71</v>
      </c>
      <c r="E20" s="2" t="s">
        <v>577</v>
      </c>
      <c r="F20" s="2" t="n">
        <v>2200</v>
      </c>
      <c r="G20" s="2" t="n">
        <v>4</v>
      </c>
      <c r="H20" s="2" t="n">
        <v>7</v>
      </c>
      <c r="I20" s="2" t="s">
        <v>578</v>
      </c>
    </row>
    <row r="21" customFormat="false" ht="15" hidden="false" customHeight="false" outlineLevel="0" collapsed="false">
      <c r="A21" s="3" t="n">
        <v>20</v>
      </c>
      <c r="B21" s="3" t="s">
        <v>579</v>
      </c>
      <c r="C21" s="3" t="s">
        <v>36</v>
      </c>
      <c r="D21" s="3" t="s">
        <v>76</v>
      </c>
      <c r="E21" s="3" t="s">
        <v>525</v>
      </c>
      <c r="F21" s="3" t="n">
        <v>2100</v>
      </c>
      <c r="G21" s="3" t="n">
        <v>4</v>
      </c>
      <c r="H21" s="3" t="n">
        <v>6</v>
      </c>
      <c r="I21" s="3" t="s">
        <v>580</v>
      </c>
    </row>
    <row r="22" customFormat="false" ht="15" hidden="false" customHeight="false" outlineLevel="0" collapsed="false">
      <c r="A22" s="2" t="n">
        <v>21</v>
      </c>
      <c r="B22" s="2" t="s">
        <v>78</v>
      </c>
      <c r="C22" s="2" t="s">
        <v>79</v>
      </c>
      <c r="D22" s="2" t="s">
        <v>366</v>
      </c>
      <c r="E22" s="2" t="s">
        <v>581</v>
      </c>
      <c r="F22" s="2" t="n">
        <v>2000</v>
      </c>
      <c r="G22" s="2" t="n">
        <v>3</v>
      </c>
      <c r="H22" s="2" t="n">
        <v>4</v>
      </c>
      <c r="I22" s="2" t="s">
        <v>582</v>
      </c>
    </row>
    <row r="23" customFormat="false" ht="15" hidden="false" customHeight="false" outlineLevel="0" collapsed="false">
      <c r="A23" s="3" t="n">
        <v>22</v>
      </c>
      <c r="B23" s="3" t="s">
        <v>583</v>
      </c>
      <c r="C23" s="3" t="s">
        <v>83</v>
      </c>
      <c r="D23" s="3" t="s">
        <v>584</v>
      </c>
      <c r="E23" s="3" t="s">
        <v>585</v>
      </c>
      <c r="F23" s="3" t="n">
        <v>2200</v>
      </c>
      <c r="G23" s="3" t="n">
        <v>4</v>
      </c>
      <c r="H23" s="3" t="n">
        <v>8</v>
      </c>
      <c r="I23" s="3" t="s">
        <v>586</v>
      </c>
    </row>
    <row r="24" customFormat="false" ht="15" hidden="false" customHeight="false" outlineLevel="0" collapsed="false">
      <c r="A24" s="2" t="n">
        <v>23</v>
      </c>
      <c r="B24" s="2" t="s">
        <v>587</v>
      </c>
      <c r="C24" s="2" t="s">
        <v>107</v>
      </c>
      <c r="D24" s="2" t="s">
        <v>516</v>
      </c>
      <c r="E24" s="2" t="s">
        <v>588</v>
      </c>
      <c r="F24" s="2" t="n">
        <v>2200</v>
      </c>
      <c r="G24" s="2" t="n">
        <v>4</v>
      </c>
      <c r="H24" s="2" t="n">
        <v>8</v>
      </c>
      <c r="I24" s="2" t="s">
        <v>589</v>
      </c>
    </row>
    <row r="25" customFormat="false" ht="15" hidden="false" customHeight="false" outlineLevel="0" collapsed="false">
      <c r="A25" s="3" t="n">
        <v>24</v>
      </c>
      <c r="B25" s="3" t="s">
        <v>374</v>
      </c>
      <c r="C25" s="3" t="s">
        <v>90</v>
      </c>
      <c r="D25" s="3" t="s">
        <v>590</v>
      </c>
      <c r="E25" s="3" t="s">
        <v>591</v>
      </c>
      <c r="F25" s="3" t="n">
        <v>2100</v>
      </c>
      <c r="G25" s="3" t="n">
        <v>4</v>
      </c>
      <c r="H25" s="3" t="n">
        <v>7</v>
      </c>
      <c r="I25" s="3" t="s">
        <v>592</v>
      </c>
    </row>
    <row r="26" customFormat="false" ht="15" hidden="false" customHeight="false" outlineLevel="0" collapsed="false">
      <c r="A26" s="2" t="n">
        <v>25</v>
      </c>
      <c r="B26" s="2" t="s">
        <v>593</v>
      </c>
      <c r="C26" s="2" t="s">
        <v>83</v>
      </c>
      <c r="D26" s="2" t="s">
        <v>594</v>
      </c>
      <c r="E26" s="2" t="s">
        <v>595</v>
      </c>
      <c r="F26" s="2" t="n">
        <v>2100</v>
      </c>
      <c r="G26" s="2" t="n">
        <v>4</v>
      </c>
      <c r="H26" s="2" t="n">
        <v>6</v>
      </c>
      <c r="I26" s="2" t="s">
        <v>596</v>
      </c>
    </row>
    <row r="27" customFormat="false" ht="15" hidden="false" customHeight="false" outlineLevel="0" collapsed="false">
      <c r="A27" s="3" t="n">
        <v>26</v>
      </c>
      <c r="B27" s="3" t="s">
        <v>597</v>
      </c>
      <c r="C27" s="3" t="s">
        <v>40</v>
      </c>
      <c r="D27" s="3" t="s">
        <v>598</v>
      </c>
      <c r="E27" s="3" t="s">
        <v>599</v>
      </c>
      <c r="F27" s="3" t="n">
        <v>2200</v>
      </c>
      <c r="G27" s="3" t="n">
        <v>4</v>
      </c>
      <c r="H27" s="3" t="n">
        <v>8</v>
      </c>
      <c r="I27" s="3" t="s">
        <v>600</v>
      </c>
    </row>
    <row r="28" customFormat="false" ht="15" hidden="false" customHeight="false" outlineLevel="0" collapsed="false">
      <c r="A28" s="2" t="n">
        <v>27</v>
      </c>
      <c r="B28" s="2" t="s">
        <v>601</v>
      </c>
      <c r="C28" s="2" t="s">
        <v>44</v>
      </c>
      <c r="D28" s="2" t="s">
        <v>602</v>
      </c>
      <c r="E28" s="2" t="s">
        <v>603</v>
      </c>
      <c r="F28" s="2" t="n">
        <v>2300</v>
      </c>
      <c r="G28" s="2" t="n">
        <v>4</v>
      </c>
      <c r="H28" s="2" t="n">
        <v>8</v>
      </c>
      <c r="I28" s="2" t="s">
        <v>604</v>
      </c>
    </row>
    <row r="29" customFormat="false" ht="15" hidden="false" customHeight="false" outlineLevel="0" collapsed="false">
      <c r="A29" s="3" t="n">
        <v>28</v>
      </c>
      <c r="B29" s="3" t="s">
        <v>582</v>
      </c>
      <c r="C29" s="3" t="s">
        <v>79</v>
      </c>
      <c r="D29" s="3" t="s">
        <v>173</v>
      </c>
      <c r="E29" s="3" t="s">
        <v>104</v>
      </c>
      <c r="F29" s="3" t="n">
        <v>2000</v>
      </c>
      <c r="G29" s="3" t="n">
        <v>3</v>
      </c>
      <c r="H29" s="3" t="n">
        <v>4</v>
      </c>
      <c r="I29" s="3" t="s">
        <v>605</v>
      </c>
    </row>
    <row r="30" customFormat="false" ht="15" hidden="false" customHeight="false" outlineLevel="0" collapsed="false">
      <c r="A30" s="2" t="n">
        <v>29</v>
      </c>
      <c r="B30" s="2" t="s">
        <v>606</v>
      </c>
      <c r="C30" s="2" t="s">
        <v>107</v>
      </c>
      <c r="D30" s="2" t="s">
        <v>607</v>
      </c>
      <c r="E30" s="2" t="s">
        <v>608</v>
      </c>
      <c r="F30" s="2" t="n">
        <v>2400</v>
      </c>
      <c r="G30" s="2" t="n">
        <v>4</v>
      </c>
      <c r="H30" s="2" t="n">
        <v>8</v>
      </c>
      <c r="I30" s="2" t="s">
        <v>609</v>
      </c>
    </row>
    <row r="31" customFormat="false" ht="15" hidden="false" customHeight="false" outlineLevel="0" collapsed="false">
      <c r="A31" s="3" t="n">
        <v>30</v>
      </c>
      <c r="B31" s="3" t="s">
        <v>610</v>
      </c>
      <c r="C31" s="3" t="s">
        <v>107</v>
      </c>
      <c r="D31" s="3" t="s">
        <v>611</v>
      </c>
      <c r="E31" s="3" t="s">
        <v>612</v>
      </c>
      <c r="F31" s="3" t="n">
        <v>2500</v>
      </c>
      <c r="G31" s="3" t="n">
        <v>4</v>
      </c>
      <c r="H31" s="3" t="n">
        <v>8</v>
      </c>
      <c r="I31" s="3" t="s">
        <v>613</v>
      </c>
    </row>
    <row r="32" customFormat="false" ht="15" hidden="false" customHeight="false" outlineLevel="0" collapsed="false">
      <c r="A32" s="2" t="n">
        <v>31</v>
      </c>
      <c r="B32" s="2" t="s">
        <v>614</v>
      </c>
      <c r="C32" s="2" t="s">
        <v>107</v>
      </c>
      <c r="D32" s="2" t="s">
        <v>615</v>
      </c>
      <c r="E32" s="2" t="s">
        <v>616</v>
      </c>
      <c r="F32" s="2" t="n">
        <v>2400</v>
      </c>
      <c r="G32" s="2" t="n">
        <v>4</v>
      </c>
      <c r="H32" s="2" t="n">
        <v>8</v>
      </c>
      <c r="I32" s="2" t="s">
        <v>617</v>
      </c>
    </row>
    <row r="33" customFormat="false" ht="15" hidden="false" customHeight="false" outlineLevel="0" collapsed="false">
      <c r="A33" s="3" t="n">
        <v>32</v>
      </c>
      <c r="B33" s="3" t="s">
        <v>618</v>
      </c>
      <c r="C33" s="3" t="s">
        <v>32</v>
      </c>
      <c r="D33" s="3" t="s">
        <v>607</v>
      </c>
      <c r="E33" s="3" t="s">
        <v>619</v>
      </c>
      <c r="F33" s="3" t="n">
        <v>2400</v>
      </c>
      <c r="G33" s="3" t="n">
        <v>4</v>
      </c>
      <c r="H33" s="3" t="n">
        <v>8</v>
      </c>
      <c r="I33" s="3" t="s">
        <v>620</v>
      </c>
    </row>
    <row r="34" customFormat="false" ht="15" hidden="false" customHeight="false" outlineLevel="0" collapsed="false">
      <c r="A34" s="2" t="n">
        <v>33</v>
      </c>
      <c r="B34" s="2" t="s">
        <v>621</v>
      </c>
      <c r="C34" s="2" t="s">
        <v>32</v>
      </c>
      <c r="D34" s="2" t="s">
        <v>622</v>
      </c>
      <c r="E34" s="2" t="s">
        <v>623</v>
      </c>
      <c r="F34" s="2" t="n">
        <v>2300</v>
      </c>
      <c r="G34" s="2" t="n">
        <v>4</v>
      </c>
      <c r="H34" s="2" t="n">
        <v>7</v>
      </c>
      <c r="I34" s="2" t="s">
        <v>624</v>
      </c>
    </row>
    <row r="35" customFormat="false" ht="15" hidden="false" customHeight="false" outlineLevel="0" collapsed="false">
      <c r="A35" s="3" t="n">
        <v>34</v>
      </c>
      <c r="B35" s="3" t="s">
        <v>625</v>
      </c>
      <c r="C35" s="3" t="s">
        <v>40</v>
      </c>
      <c r="D35" s="3" t="s">
        <v>626</v>
      </c>
      <c r="E35" s="3" t="s">
        <v>627</v>
      </c>
      <c r="F35" s="3" t="n">
        <v>2200</v>
      </c>
      <c r="G35" s="3" t="n">
        <v>4</v>
      </c>
      <c r="H35" s="3" t="n">
        <v>6</v>
      </c>
      <c r="I35" s="3" t="s">
        <v>628</v>
      </c>
    </row>
    <row r="36" customFormat="false" ht="15" hidden="false" customHeight="false" outlineLevel="0" collapsed="false">
      <c r="A36" s="2" t="n">
        <v>35</v>
      </c>
      <c r="B36" s="2" t="s">
        <v>629</v>
      </c>
      <c r="C36" s="2" t="s">
        <v>40</v>
      </c>
      <c r="D36" s="2" t="s">
        <v>630</v>
      </c>
      <c r="E36" s="2" t="s">
        <v>631</v>
      </c>
      <c r="F36" s="2" t="n">
        <v>2400</v>
      </c>
      <c r="G36" s="2" t="n">
        <v>4</v>
      </c>
      <c r="H36" s="2" t="n">
        <v>8</v>
      </c>
      <c r="I36" s="2" t="s">
        <v>632</v>
      </c>
    </row>
    <row r="37" customFormat="false" ht="15" hidden="false" customHeight="false" outlineLevel="0" collapsed="false">
      <c r="A37" s="3" t="n">
        <v>36</v>
      </c>
      <c r="B37" s="3" t="s">
        <v>633</v>
      </c>
      <c r="C37" s="3" t="s">
        <v>32</v>
      </c>
      <c r="D37" s="3" t="s">
        <v>634</v>
      </c>
      <c r="E37" s="3" t="s">
        <v>635</v>
      </c>
      <c r="F37" s="3" t="n">
        <v>2200</v>
      </c>
      <c r="G37" s="3" t="n">
        <v>4</v>
      </c>
      <c r="H37" s="3" t="n">
        <v>7</v>
      </c>
      <c r="I37" s="3" t="s">
        <v>636</v>
      </c>
    </row>
    <row r="38" customFormat="false" ht="15" hidden="false" customHeight="false" outlineLevel="0" collapsed="false">
      <c r="A38" s="2" t="n">
        <v>37</v>
      </c>
      <c r="B38" s="2" t="s">
        <v>637</v>
      </c>
      <c r="C38" s="2" t="s">
        <v>40</v>
      </c>
      <c r="D38" s="2" t="s">
        <v>638</v>
      </c>
      <c r="E38" s="2" t="s">
        <v>639</v>
      </c>
      <c r="F38" s="2" t="n">
        <v>2500</v>
      </c>
      <c r="G38" s="2" t="n">
        <v>4</v>
      </c>
      <c r="H38" s="2" t="n">
        <v>8</v>
      </c>
      <c r="I38" s="2" t="s">
        <v>640</v>
      </c>
    </row>
    <row r="39" customFormat="false" ht="15" hidden="false" customHeight="false" outlineLevel="0" collapsed="false">
      <c r="A39" s="3" t="n">
        <v>38</v>
      </c>
      <c r="B39" s="3" t="s">
        <v>641</v>
      </c>
      <c r="C39" s="3" t="s">
        <v>57</v>
      </c>
      <c r="D39" s="3" t="s">
        <v>642</v>
      </c>
      <c r="E39" s="3" t="s">
        <v>643</v>
      </c>
      <c r="F39" s="3" t="n">
        <v>2400</v>
      </c>
      <c r="G39" s="3" t="n">
        <v>4</v>
      </c>
      <c r="H39" s="3" t="n">
        <v>8</v>
      </c>
      <c r="I39" s="3" t="s">
        <v>644</v>
      </c>
    </row>
    <row r="40" customFormat="false" ht="15" hidden="false" customHeight="false" outlineLevel="0" collapsed="false">
      <c r="A40" s="2" t="n">
        <v>39</v>
      </c>
      <c r="B40" s="2" t="s">
        <v>645</v>
      </c>
      <c r="C40" s="2" t="s">
        <v>36</v>
      </c>
      <c r="D40" s="2" t="s">
        <v>646</v>
      </c>
      <c r="E40" s="2" t="s">
        <v>647</v>
      </c>
      <c r="F40" s="2" t="n">
        <v>2300</v>
      </c>
      <c r="G40" s="2" t="n">
        <v>4</v>
      </c>
      <c r="H40" s="2" t="n">
        <v>7</v>
      </c>
      <c r="I40" s="2" t="s">
        <v>648</v>
      </c>
    </row>
    <row r="41" customFormat="false" ht="15" hidden="false" customHeight="false" outlineLevel="0" collapsed="false">
      <c r="A41" s="3" t="n">
        <v>40</v>
      </c>
      <c r="B41" s="3" t="s">
        <v>649</v>
      </c>
      <c r="C41" s="3" t="s">
        <v>57</v>
      </c>
      <c r="D41" s="3" t="s">
        <v>650</v>
      </c>
      <c r="E41" s="3" t="s">
        <v>577</v>
      </c>
      <c r="F41" s="3" t="n">
        <v>2200</v>
      </c>
      <c r="G41" s="3" t="n">
        <v>4</v>
      </c>
      <c r="H41" s="3" t="n">
        <v>6</v>
      </c>
      <c r="I41" s="3" t="s">
        <v>651</v>
      </c>
    </row>
    <row r="42" customFormat="false" ht="15" hidden="false" customHeight="false" outlineLevel="0" collapsed="false">
      <c r="A42" s="2" t="n">
        <v>41</v>
      </c>
      <c r="B42" s="2" t="s">
        <v>652</v>
      </c>
      <c r="C42" s="2" t="s">
        <v>145</v>
      </c>
      <c r="D42" s="2" t="s">
        <v>653</v>
      </c>
      <c r="E42" s="2" t="s">
        <v>654</v>
      </c>
      <c r="F42" s="2" t="n">
        <v>2300</v>
      </c>
      <c r="G42" s="2" t="n">
        <v>4</v>
      </c>
      <c r="H42" s="2" t="n">
        <v>8</v>
      </c>
      <c r="I42" s="2" t="s">
        <v>655</v>
      </c>
    </row>
    <row r="43" customFormat="false" ht="15" hidden="false" customHeight="false" outlineLevel="0" collapsed="false">
      <c r="A43" s="3" t="n">
        <v>42</v>
      </c>
      <c r="B43" s="3" t="s">
        <v>582</v>
      </c>
      <c r="C43" s="3" t="s">
        <v>79</v>
      </c>
      <c r="D43" s="3" t="s">
        <v>656</v>
      </c>
      <c r="E43" s="3" t="s">
        <v>657</v>
      </c>
      <c r="F43" s="3" t="n">
        <v>2000</v>
      </c>
      <c r="G43" s="3" t="n">
        <v>3</v>
      </c>
      <c r="H43" s="3" t="n">
        <v>4</v>
      </c>
      <c r="I43" s="3" t="s">
        <v>104</v>
      </c>
    </row>
    <row r="44" customFormat="false" ht="15" hidden="false" customHeight="false" outlineLevel="0" collapsed="false">
      <c r="A44" s="2" t="n">
        <v>43</v>
      </c>
      <c r="B44" s="2" t="s">
        <v>658</v>
      </c>
      <c r="C44" s="2" t="s">
        <v>40</v>
      </c>
      <c r="D44" s="2" t="s">
        <v>151</v>
      </c>
      <c r="E44" s="2" t="s">
        <v>659</v>
      </c>
      <c r="F44" s="2" t="n">
        <v>2200</v>
      </c>
      <c r="G44" s="2" t="n">
        <v>4</v>
      </c>
      <c r="H44" s="2" t="n">
        <v>7</v>
      </c>
      <c r="I44" s="2" t="s">
        <v>660</v>
      </c>
    </row>
    <row r="45" customFormat="false" ht="15" hidden="false" customHeight="false" outlineLevel="0" collapsed="false">
      <c r="A45" s="3" t="n">
        <v>44</v>
      </c>
      <c r="B45" s="3" t="s">
        <v>216</v>
      </c>
      <c r="C45" s="3" t="s">
        <v>145</v>
      </c>
      <c r="D45" s="3" t="s">
        <v>217</v>
      </c>
      <c r="E45" s="3" t="s">
        <v>661</v>
      </c>
      <c r="F45" s="3" t="n">
        <v>2100</v>
      </c>
      <c r="G45" s="3" t="n">
        <v>4</v>
      </c>
      <c r="H45" s="3" t="n">
        <v>6</v>
      </c>
      <c r="I45" s="3" t="s">
        <v>662</v>
      </c>
    </row>
    <row r="46" customFormat="false" ht="15" hidden="false" customHeight="false" outlineLevel="0" collapsed="false">
      <c r="A46" s="2" t="n">
        <v>45</v>
      </c>
      <c r="B46" s="2" t="s">
        <v>663</v>
      </c>
      <c r="C46" s="2" t="s">
        <v>83</v>
      </c>
      <c r="D46" s="2" t="s">
        <v>664</v>
      </c>
      <c r="E46" s="2" t="s">
        <v>665</v>
      </c>
      <c r="F46" s="2" t="n">
        <v>2200</v>
      </c>
      <c r="G46" s="2" t="n">
        <v>4</v>
      </c>
      <c r="H46" s="2" t="n">
        <v>7</v>
      </c>
      <c r="I46" s="2" t="s">
        <v>666</v>
      </c>
    </row>
    <row r="47" customFormat="false" ht="15" hidden="false" customHeight="false" outlineLevel="0" collapsed="false">
      <c r="A47" s="3" t="n">
        <v>46</v>
      </c>
      <c r="B47" s="3" t="s">
        <v>667</v>
      </c>
      <c r="C47" s="3" t="s">
        <v>145</v>
      </c>
      <c r="D47" s="3" t="s">
        <v>668</v>
      </c>
      <c r="E47" s="3" t="s">
        <v>669</v>
      </c>
      <c r="F47" s="3" t="n">
        <v>2100</v>
      </c>
      <c r="G47" s="3" t="n">
        <v>4</v>
      </c>
      <c r="H47" s="3" t="n">
        <v>5</v>
      </c>
      <c r="I47" s="3" t="s">
        <v>670</v>
      </c>
    </row>
    <row r="48" customFormat="false" ht="15" hidden="false" customHeight="false" outlineLevel="0" collapsed="false">
      <c r="A48" s="2" t="n">
        <v>47</v>
      </c>
      <c r="B48" s="2" t="s">
        <v>671</v>
      </c>
      <c r="C48" s="2" t="s">
        <v>36</v>
      </c>
      <c r="D48" s="2" t="s">
        <v>672</v>
      </c>
      <c r="E48" s="2" t="s">
        <v>673</v>
      </c>
      <c r="F48" s="2" t="n">
        <v>2000</v>
      </c>
      <c r="G48" s="2" t="n">
        <v>3</v>
      </c>
      <c r="H48" s="2" t="n">
        <v>5</v>
      </c>
      <c r="I48" s="2" t="s">
        <v>201</v>
      </c>
    </row>
    <row r="49" customFormat="false" ht="15" hidden="false" customHeight="false" outlineLevel="0" collapsed="false">
      <c r="A49" s="3" t="n">
        <v>48</v>
      </c>
      <c r="B49" s="3" t="s">
        <v>674</v>
      </c>
      <c r="C49" s="3" t="s">
        <v>40</v>
      </c>
      <c r="D49" s="3" t="s">
        <v>675</v>
      </c>
      <c r="E49" s="3" t="s">
        <v>676</v>
      </c>
      <c r="F49" s="3" t="n">
        <v>2400</v>
      </c>
      <c r="G49" s="3" t="n">
        <v>4</v>
      </c>
      <c r="H49" s="3" t="n">
        <v>8</v>
      </c>
      <c r="I49" s="3" t="s">
        <v>677</v>
      </c>
    </row>
    <row r="50" customFormat="false" ht="15" hidden="false" customHeight="false" outlineLevel="0" collapsed="false">
      <c r="A50" s="2" t="n">
        <v>49</v>
      </c>
      <c r="B50" s="2" t="s">
        <v>678</v>
      </c>
      <c r="C50" s="2" t="s">
        <v>44</v>
      </c>
      <c r="D50" s="2" t="s">
        <v>679</v>
      </c>
      <c r="E50" s="2" t="s">
        <v>680</v>
      </c>
      <c r="F50" s="2" t="n">
        <v>2200</v>
      </c>
      <c r="G50" s="2" t="n">
        <v>4</v>
      </c>
      <c r="H50" s="2" t="n">
        <v>6</v>
      </c>
      <c r="I50" s="2" t="s">
        <v>681</v>
      </c>
    </row>
    <row r="51" customFormat="false" ht="15" hidden="false" customHeight="false" outlineLevel="0" collapsed="false">
      <c r="A51" s="3" t="n">
        <v>50</v>
      </c>
      <c r="B51" s="3" t="s">
        <v>181</v>
      </c>
      <c r="C51" s="3" t="s">
        <v>57</v>
      </c>
      <c r="D51" s="3" t="s">
        <v>235</v>
      </c>
      <c r="E51" s="3" t="s">
        <v>682</v>
      </c>
      <c r="F51" s="3" t="n">
        <v>2300</v>
      </c>
      <c r="G51" s="3" t="n">
        <v>4</v>
      </c>
      <c r="H51" s="3" t="n">
        <v>8</v>
      </c>
      <c r="I51" s="3" t="s">
        <v>683</v>
      </c>
    </row>
    <row r="52" customFormat="false" ht="15" hidden="false" customHeight="false" outlineLevel="0" collapsed="false">
      <c r="A52" s="2" t="n">
        <v>51</v>
      </c>
      <c r="B52" s="2" t="s">
        <v>374</v>
      </c>
      <c r="C52" s="2" t="s">
        <v>90</v>
      </c>
      <c r="D52" s="2" t="s">
        <v>684</v>
      </c>
      <c r="E52" s="2" t="s">
        <v>685</v>
      </c>
      <c r="F52" s="2" t="n">
        <v>2300</v>
      </c>
      <c r="G52" s="2" t="n">
        <v>4</v>
      </c>
      <c r="H52" s="2" t="n">
        <v>8</v>
      </c>
      <c r="I52" s="2" t="s">
        <v>686</v>
      </c>
    </row>
    <row r="53" customFormat="false" ht="15" hidden="false" customHeight="false" outlineLevel="0" collapsed="false">
      <c r="A53" s="3" t="n">
        <v>52</v>
      </c>
      <c r="B53" s="3" t="s">
        <v>227</v>
      </c>
      <c r="C53" s="3" t="s">
        <v>32</v>
      </c>
      <c r="D53" s="3" t="s">
        <v>687</v>
      </c>
      <c r="E53" s="3" t="s">
        <v>688</v>
      </c>
      <c r="F53" s="3" t="n">
        <v>2100</v>
      </c>
      <c r="G53" s="3" t="n">
        <v>4</v>
      </c>
      <c r="H53" s="3" t="n">
        <v>6</v>
      </c>
      <c r="I53" s="3" t="s">
        <v>689</v>
      </c>
    </row>
    <row r="54" customFormat="false" ht="15" hidden="false" customHeight="false" outlineLevel="0" collapsed="false">
      <c r="A54" s="2" t="n">
        <v>53</v>
      </c>
      <c r="B54" s="2" t="s">
        <v>690</v>
      </c>
      <c r="C54" s="2" t="s">
        <v>79</v>
      </c>
      <c r="D54" s="2" t="s">
        <v>691</v>
      </c>
      <c r="E54" s="2" t="s">
        <v>692</v>
      </c>
      <c r="F54" s="2" t="n">
        <v>2200</v>
      </c>
      <c r="G54" s="2" t="n">
        <v>4</v>
      </c>
      <c r="H54" s="2" t="n">
        <v>6</v>
      </c>
      <c r="I54" s="2" t="s">
        <v>693</v>
      </c>
    </row>
    <row r="55" customFormat="false" ht="15" hidden="false" customHeight="false" outlineLevel="0" collapsed="false">
      <c r="A55" s="3" t="n">
        <v>54</v>
      </c>
      <c r="B55" s="3" t="s">
        <v>694</v>
      </c>
      <c r="C55" s="3" t="s">
        <v>40</v>
      </c>
      <c r="D55" s="3" t="s">
        <v>695</v>
      </c>
      <c r="E55" s="3" t="s">
        <v>696</v>
      </c>
      <c r="F55" s="3" t="n">
        <v>2500</v>
      </c>
      <c r="G55" s="3" t="n">
        <v>4</v>
      </c>
      <c r="H55" s="3" t="n">
        <v>8</v>
      </c>
      <c r="I55" s="3" t="s">
        <v>697</v>
      </c>
    </row>
    <row r="56" customFormat="false" ht="15" hidden="false" customHeight="false" outlineLevel="0" collapsed="false">
      <c r="A56" s="2" t="n">
        <v>55</v>
      </c>
      <c r="B56" s="2" t="s">
        <v>698</v>
      </c>
      <c r="C56" s="2" t="s">
        <v>57</v>
      </c>
      <c r="D56" s="2" t="s">
        <v>699</v>
      </c>
      <c r="E56" s="2" t="s">
        <v>700</v>
      </c>
      <c r="F56" s="2" t="n">
        <v>2400</v>
      </c>
      <c r="G56" s="2" t="n">
        <v>4</v>
      </c>
      <c r="H56" s="2" t="n">
        <v>8</v>
      </c>
      <c r="I56" s="2" t="s">
        <v>701</v>
      </c>
    </row>
    <row r="57" customFormat="false" ht="15" hidden="false" customHeight="false" outlineLevel="0" collapsed="false">
      <c r="A57" s="3" t="n">
        <v>56</v>
      </c>
      <c r="B57" s="3" t="s">
        <v>702</v>
      </c>
      <c r="C57" s="3" t="s">
        <v>36</v>
      </c>
      <c r="D57" s="3" t="s">
        <v>703</v>
      </c>
      <c r="E57" s="3" t="s">
        <v>704</v>
      </c>
      <c r="F57" s="3" t="n">
        <v>2200</v>
      </c>
      <c r="G57" s="3" t="n">
        <v>4</v>
      </c>
      <c r="H57" s="3" t="n">
        <v>7</v>
      </c>
      <c r="I57" s="3" t="s">
        <v>705</v>
      </c>
    </row>
    <row r="58" customFormat="false" ht="15" hidden="false" customHeight="false" outlineLevel="0" collapsed="false">
      <c r="A58" s="2" t="n">
        <v>57</v>
      </c>
      <c r="B58" s="2" t="s">
        <v>193</v>
      </c>
      <c r="C58" s="2" t="s">
        <v>79</v>
      </c>
      <c r="D58" s="2" t="s">
        <v>173</v>
      </c>
      <c r="E58" s="2" t="s">
        <v>706</v>
      </c>
      <c r="F58" s="2" t="n">
        <v>2000</v>
      </c>
      <c r="G58" s="2" t="n">
        <v>3</v>
      </c>
      <c r="H58" s="2" t="n">
        <v>4</v>
      </c>
      <c r="I58" s="2" t="s">
        <v>707</v>
      </c>
    </row>
    <row r="59" customFormat="false" ht="15" hidden="false" customHeight="false" outlineLevel="0" collapsed="false">
      <c r="A59" s="3" t="n">
        <v>58</v>
      </c>
      <c r="B59" s="3" t="s">
        <v>196</v>
      </c>
      <c r="C59" s="3" t="s">
        <v>145</v>
      </c>
      <c r="D59" s="3" t="s">
        <v>708</v>
      </c>
      <c r="E59" s="3" t="s">
        <v>709</v>
      </c>
      <c r="F59" s="3" t="n">
        <v>2100</v>
      </c>
      <c r="G59" s="3" t="n">
        <v>4</v>
      </c>
      <c r="H59" s="3" t="n">
        <v>6</v>
      </c>
      <c r="I59" s="3" t="s">
        <v>710</v>
      </c>
    </row>
    <row r="60" customFormat="false" ht="15" hidden="false" customHeight="false" outlineLevel="0" collapsed="false">
      <c r="A60" s="2" t="n">
        <v>59</v>
      </c>
      <c r="B60" s="2" t="s">
        <v>711</v>
      </c>
      <c r="C60" s="2" t="s">
        <v>163</v>
      </c>
      <c r="D60" s="2" t="s">
        <v>712</v>
      </c>
      <c r="E60" s="2" t="s">
        <v>713</v>
      </c>
      <c r="F60" s="2" t="n">
        <v>2000</v>
      </c>
      <c r="G60" s="2" t="n">
        <v>3</v>
      </c>
      <c r="H60" s="2" t="n">
        <v>5</v>
      </c>
      <c r="I60" s="2" t="s">
        <v>714</v>
      </c>
    </row>
    <row r="61" customFormat="false" ht="15" hidden="false" customHeight="false" outlineLevel="0" collapsed="false">
      <c r="A61" s="3" t="n">
        <v>60</v>
      </c>
      <c r="B61" s="3" t="s">
        <v>715</v>
      </c>
      <c r="C61" s="3" t="s">
        <v>79</v>
      </c>
      <c r="D61" s="3" t="s">
        <v>203</v>
      </c>
      <c r="E61" s="3" t="s">
        <v>716</v>
      </c>
      <c r="F61" s="3" t="n">
        <v>2000</v>
      </c>
      <c r="G61" s="3" t="n">
        <v>3</v>
      </c>
      <c r="H61" s="3" t="n">
        <v>4</v>
      </c>
      <c r="I61" s="3" t="s">
        <v>717</v>
      </c>
    </row>
    <row r="62" customFormat="false" ht="15" hidden="false" customHeight="false" outlineLevel="0" collapsed="false">
      <c r="A62" s="2" t="n">
        <v>61</v>
      </c>
      <c r="B62" s="2" t="s">
        <v>718</v>
      </c>
      <c r="C62" s="2" t="s">
        <v>107</v>
      </c>
      <c r="D62" s="2" t="s">
        <v>719</v>
      </c>
      <c r="E62" s="2" t="s">
        <v>720</v>
      </c>
      <c r="F62" s="2" t="n">
        <v>2400</v>
      </c>
      <c r="G62" s="2" t="n">
        <v>4</v>
      </c>
      <c r="H62" s="2" t="n">
        <v>8</v>
      </c>
      <c r="I62" s="2" t="s">
        <v>721</v>
      </c>
    </row>
    <row r="63" customFormat="false" ht="15" hidden="false" customHeight="false" outlineLevel="0" collapsed="false">
      <c r="A63" s="3" t="n">
        <v>62</v>
      </c>
      <c r="B63" s="3" t="s">
        <v>722</v>
      </c>
      <c r="C63" s="3" t="s">
        <v>32</v>
      </c>
      <c r="D63" s="3" t="s">
        <v>723</v>
      </c>
      <c r="E63" s="3" t="s">
        <v>724</v>
      </c>
      <c r="F63" s="3" t="n">
        <v>2300</v>
      </c>
      <c r="G63" s="3" t="n">
        <v>4</v>
      </c>
      <c r="H63" s="3" t="n">
        <v>7</v>
      </c>
      <c r="I63" s="3" t="s">
        <v>660</v>
      </c>
    </row>
    <row r="64" customFormat="false" ht="15" hidden="false" customHeight="false" outlineLevel="0" collapsed="false">
      <c r="A64" s="2" t="n">
        <v>63</v>
      </c>
      <c r="B64" s="2" t="s">
        <v>725</v>
      </c>
      <c r="C64" s="2" t="s">
        <v>79</v>
      </c>
      <c r="D64" s="2" t="s">
        <v>726</v>
      </c>
      <c r="E64" s="2" t="s">
        <v>727</v>
      </c>
      <c r="F64" s="2" t="n">
        <v>2100</v>
      </c>
      <c r="G64" s="2" t="n">
        <v>3</v>
      </c>
      <c r="H64" s="2" t="n">
        <v>5</v>
      </c>
      <c r="I64" s="2" t="s">
        <v>728</v>
      </c>
    </row>
    <row r="65" customFormat="false" ht="15" hidden="false" customHeight="false" outlineLevel="0" collapsed="false">
      <c r="A65" s="3" t="n">
        <v>64</v>
      </c>
      <c r="B65" s="3" t="s">
        <v>674</v>
      </c>
      <c r="C65" s="3" t="s">
        <v>40</v>
      </c>
      <c r="D65" s="3" t="s">
        <v>675</v>
      </c>
      <c r="E65" s="3" t="s">
        <v>729</v>
      </c>
      <c r="F65" s="3" t="n">
        <v>2500</v>
      </c>
      <c r="G65" s="3" t="n">
        <v>4</v>
      </c>
      <c r="H65" s="3" t="n">
        <v>8</v>
      </c>
      <c r="I65" s="3" t="s">
        <v>639</v>
      </c>
    </row>
    <row r="66" customFormat="false" ht="15" hidden="false" customHeight="false" outlineLevel="0" collapsed="false">
      <c r="A66" s="2" t="n">
        <v>65</v>
      </c>
      <c r="B66" s="2" t="s">
        <v>730</v>
      </c>
      <c r="C66" s="2" t="s">
        <v>36</v>
      </c>
      <c r="D66" s="2" t="s">
        <v>731</v>
      </c>
      <c r="E66" s="2" t="s">
        <v>732</v>
      </c>
      <c r="F66" s="2" t="n">
        <v>2200</v>
      </c>
      <c r="G66" s="2" t="n">
        <v>4</v>
      </c>
      <c r="H66" s="2" t="n">
        <v>6</v>
      </c>
      <c r="I66" s="2" t="s">
        <v>733</v>
      </c>
    </row>
    <row r="67" customFormat="false" ht="15" hidden="false" customHeight="false" outlineLevel="0" collapsed="false">
      <c r="A67" s="3" t="n">
        <v>66</v>
      </c>
      <c r="B67" s="3" t="s">
        <v>734</v>
      </c>
      <c r="C67" s="3" t="s">
        <v>57</v>
      </c>
      <c r="D67" s="3" t="s">
        <v>735</v>
      </c>
      <c r="E67" s="3" t="s">
        <v>736</v>
      </c>
      <c r="F67" s="3" t="n">
        <v>2300</v>
      </c>
      <c r="G67" s="3" t="n">
        <v>4</v>
      </c>
      <c r="H67" s="3" t="n">
        <v>8</v>
      </c>
      <c r="I67" s="3" t="s">
        <v>737</v>
      </c>
    </row>
    <row r="68" customFormat="false" ht="15" hidden="false" customHeight="false" outlineLevel="0" collapsed="false">
      <c r="A68" s="2" t="n">
        <v>67</v>
      </c>
      <c r="B68" s="2" t="s">
        <v>738</v>
      </c>
      <c r="C68" s="2" t="s">
        <v>90</v>
      </c>
      <c r="D68" s="2" t="s">
        <v>739</v>
      </c>
      <c r="E68" s="2" t="s">
        <v>740</v>
      </c>
      <c r="F68" s="2" t="n">
        <v>2300</v>
      </c>
      <c r="G68" s="2" t="n">
        <v>4</v>
      </c>
      <c r="H68" s="2" t="n">
        <v>8</v>
      </c>
      <c r="I68" s="2" t="s">
        <v>741</v>
      </c>
    </row>
    <row r="69" customFormat="false" ht="15" hidden="false" customHeight="false" outlineLevel="0" collapsed="false">
      <c r="A69" s="3" t="n">
        <v>68</v>
      </c>
      <c r="B69" s="3" t="s">
        <v>742</v>
      </c>
      <c r="C69" s="3" t="s">
        <v>32</v>
      </c>
      <c r="D69" s="3" t="s">
        <v>743</v>
      </c>
      <c r="E69" s="3" t="s">
        <v>744</v>
      </c>
      <c r="F69" s="3" t="n">
        <v>2200</v>
      </c>
      <c r="G69" s="3" t="n">
        <v>4</v>
      </c>
      <c r="H69" s="3" t="n">
        <v>7</v>
      </c>
      <c r="I69" s="3" t="s">
        <v>745</v>
      </c>
    </row>
    <row r="70" customFormat="false" ht="15" hidden="false" customHeight="false" outlineLevel="0" collapsed="false">
      <c r="A70" s="2" t="n">
        <v>69</v>
      </c>
      <c r="B70" s="2" t="s">
        <v>746</v>
      </c>
      <c r="C70" s="2" t="s">
        <v>32</v>
      </c>
      <c r="D70" s="2" t="s">
        <v>747</v>
      </c>
      <c r="E70" s="2" t="s">
        <v>748</v>
      </c>
      <c r="F70" s="2" t="n">
        <v>2200</v>
      </c>
      <c r="G70" s="2" t="n">
        <v>4</v>
      </c>
      <c r="H70" s="2" t="n">
        <v>7</v>
      </c>
      <c r="I70" s="2" t="s">
        <v>749</v>
      </c>
    </row>
    <row r="71" customFormat="false" ht="15" hidden="false" customHeight="false" outlineLevel="0" collapsed="false">
      <c r="A71" s="3" t="n">
        <v>70</v>
      </c>
      <c r="B71" s="3" t="s">
        <v>750</v>
      </c>
      <c r="C71" s="3" t="s">
        <v>145</v>
      </c>
      <c r="D71" s="3" t="s">
        <v>751</v>
      </c>
      <c r="E71" s="3" t="s">
        <v>752</v>
      </c>
      <c r="F71" s="3" t="n">
        <v>2100</v>
      </c>
      <c r="G71" s="3" t="n">
        <v>3</v>
      </c>
      <c r="H71" s="3" t="n">
        <v>6</v>
      </c>
      <c r="I71" s="3" t="s">
        <v>753</v>
      </c>
    </row>
    <row r="72" customFormat="false" ht="15" hidden="false" customHeight="false" outlineLevel="0" collapsed="false">
      <c r="A72" s="2" t="n">
        <v>71</v>
      </c>
      <c r="B72" s="2" t="s">
        <v>754</v>
      </c>
      <c r="C72" s="2" t="s">
        <v>40</v>
      </c>
      <c r="D72" s="2" t="s">
        <v>755</v>
      </c>
      <c r="E72" s="2" t="s">
        <v>756</v>
      </c>
      <c r="F72" s="2" t="n">
        <v>2400</v>
      </c>
      <c r="G72" s="2" t="n">
        <v>4</v>
      </c>
      <c r="H72" s="2" t="n">
        <v>8</v>
      </c>
      <c r="I72" s="2" t="s">
        <v>700</v>
      </c>
    </row>
    <row r="73" customFormat="false" ht="15" hidden="false" customHeight="false" outlineLevel="0" collapsed="false">
      <c r="A73" s="3" t="n">
        <v>72</v>
      </c>
      <c r="B73" s="3" t="s">
        <v>757</v>
      </c>
      <c r="C73" s="3" t="s">
        <v>57</v>
      </c>
      <c r="D73" s="3" t="s">
        <v>758</v>
      </c>
      <c r="E73" s="3" t="s">
        <v>577</v>
      </c>
      <c r="F73" s="3" t="n">
        <v>2300</v>
      </c>
      <c r="G73" s="3" t="n">
        <v>4</v>
      </c>
      <c r="H73" s="3" t="n">
        <v>7</v>
      </c>
      <c r="I73" s="3" t="s">
        <v>759</v>
      </c>
    </row>
    <row r="74" customFormat="false" ht="15" hidden="false" customHeight="false" outlineLevel="0" collapsed="false">
      <c r="A74" s="2" t="n">
        <v>73</v>
      </c>
      <c r="B74" s="2" t="s">
        <v>237</v>
      </c>
      <c r="C74" s="2" t="s">
        <v>107</v>
      </c>
      <c r="D74" s="2" t="s">
        <v>238</v>
      </c>
      <c r="E74" s="2" t="s">
        <v>760</v>
      </c>
      <c r="F74" s="2" t="n">
        <v>2200</v>
      </c>
      <c r="G74" s="2" t="n">
        <v>4</v>
      </c>
      <c r="H74" s="2" t="n">
        <v>7</v>
      </c>
      <c r="I74" s="2" t="s">
        <v>761</v>
      </c>
    </row>
    <row r="75" customFormat="false" ht="15" hidden="false" customHeight="false" outlineLevel="0" collapsed="false">
      <c r="A75" s="3" t="n">
        <v>74</v>
      </c>
      <c r="B75" s="3" t="s">
        <v>691</v>
      </c>
      <c r="C75" s="3" t="s">
        <v>762</v>
      </c>
      <c r="D75" s="3" t="s">
        <v>763</v>
      </c>
      <c r="E75" s="3" t="s">
        <v>764</v>
      </c>
      <c r="F75" s="3" t="n">
        <v>2100</v>
      </c>
      <c r="G75" s="3" t="n">
        <v>3</v>
      </c>
      <c r="H75" s="3" t="n">
        <v>5</v>
      </c>
      <c r="I75" s="3" t="s">
        <v>765</v>
      </c>
    </row>
    <row r="76" customFormat="false" ht="15" hidden="false" customHeight="false" outlineLevel="0" collapsed="false">
      <c r="A76" s="2" t="n">
        <v>75</v>
      </c>
      <c r="B76" s="2" t="s">
        <v>766</v>
      </c>
      <c r="C76" s="2" t="s">
        <v>83</v>
      </c>
      <c r="D76" s="2" t="s">
        <v>767</v>
      </c>
      <c r="E76" s="2" t="s">
        <v>768</v>
      </c>
      <c r="F76" s="2" t="n">
        <v>2000</v>
      </c>
      <c r="G76" s="2" t="n">
        <v>3</v>
      </c>
      <c r="H76" s="2" t="n">
        <v>5</v>
      </c>
      <c r="I76" s="2" t="s">
        <v>769</v>
      </c>
    </row>
    <row r="77" customFormat="false" ht="15" hidden="false" customHeight="false" outlineLevel="0" collapsed="false">
      <c r="A77" s="3" t="n">
        <v>76</v>
      </c>
      <c r="B77" s="3" t="s">
        <v>770</v>
      </c>
      <c r="C77" s="3" t="s">
        <v>145</v>
      </c>
      <c r="D77" s="3" t="s">
        <v>771</v>
      </c>
      <c r="E77" s="3" t="s">
        <v>772</v>
      </c>
      <c r="F77" s="3" t="n">
        <v>2100</v>
      </c>
      <c r="G77" s="3" t="n">
        <v>4</v>
      </c>
      <c r="H77" s="3" t="n">
        <v>6</v>
      </c>
      <c r="I77" s="3" t="s">
        <v>773</v>
      </c>
    </row>
    <row r="78" customFormat="false" ht="15" hidden="false" customHeight="false" outlineLevel="0" collapsed="false">
      <c r="A78" s="2" t="n">
        <v>77</v>
      </c>
      <c r="B78" s="2" t="s">
        <v>249</v>
      </c>
      <c r="C78" s="2" t="s">
        <v>145</v>
      </c>
      <c r="D78" s="2" t="s">
        <v>182</v>
      </c>
      <c r="E78" s="2" t="s">
        <v>774</v>
      </c>
      <c r="F78" s="2" t="n">
        <v>2100</v>
      </c>
      <c r="G78" s="2" t="n">
        <v>4</v>
      </c>
      <c r="H78" s="2" t="n">
        <v>5</v>
      </c>
      <c r="I78" s="2" t="s">
        <v>775</v>
      </c>
    </row>
    <row r="79" customFormat="false" ht="15" hidden="false" customHeight="false" outlineLevel="0" collapsed="false">
      <c r="A79" s="3" t="n">
        <v>78</v>
      </c>
      <c r="B79" s="3" t="s">
        <v>251</v>
      </c>
      <c r="C79" s="3" t="s">
        <v>163</v>
      </c>
      <c r="D79" s="3" t="s">
        <v>776</v>
      </c>
      <c r="E79" s="3" t="s">
        <v>777</v>
      </c>
      <c r="F79" s="3" t="n">
        <v>2000</v>
      </c>
      <c r="G79" s="3" t="n">
        <v>3</v>
      </c>
      <c r="H79" s="3" t="n">
        <v>5</v>
      </c>
      <c r="I79" s="3" t="s">
        <v>778</v>
      </c>
    </row>
    <row r="80" customFormat="false" ht="15" hidden="false" customHeight="false" outlineLevel="0" collapsed="false">
      <c r="A80" s="2" t="n">
        <v>79</v>
      </c>
      <c r="B80" s="2" t="s">
        <v>779</v>
      </c>
      <c r="C80" s="2" t="s">
        <v>40</v>
      </c>
      <c r="D80" s="2" t="s">
        <v>675</v>
      </c>
      <c r="E80" s="2" t="s">
        <v>780</v>
      </c>
      <c r="F80" s="2" t="n">
        <v>2400</v>
      </c>
      <c r="G80" s="2" t="n">
        <v>4</v>
      </c>
      <c r="H80" s="2" t="n">
        <v>8</v>
      </c>
      <c r="I80" s="2" t="s">
        <v>781</v>
      </c>
    </row>
    <row r="81" customFormat="false" ht="15" hidden="false" customHeight="false" outlineLevel="0" collapsed="false">
      <c r="A81" s="3" t="n">
        <v>80</v>
      </c>
      <c r="B81" s="3" t="s">
        <v>782</v>
      </c>
      <c r="C81" s="3" t="s">
        <v>36</v>
      </c>
      <c r="D81" s="3" t="s">
        <v>783</v>
      </c>
      <c r="E81" s="3" t="s">
        <v>784</v>
      </c>
      <c r="F81" s="3" t="n">
        <v>2100</v>
      </c>
      <c r="G81" s="3" t="n">
        <v>4</v>
      </c>
      <c r="H81" s="3" t="n">
        <v>6</v>
      </c>
      <c r="I81" s="3" t="s">
        <v>785</v>
      </c>
    </row>
    <row r="82" customFormat="false" ht="15" hidden="false" customHeight="false" outlineLevel="0" collapsed="false">
      <c r="A82" s="2" t="n">
        <v>81</v>
      </c>
      <c r="B82" s="2" t="s">
        <v>786</v>
      </c>
      <c r="C82" s="2" t="s">
        <v>79</v>
      </c>
      <c r="D82" s="2" t="s">
        <v>787</v>
      </c>
      <c r="E82" s="2" t="s">
        <v>788</v>
      </c>
      <c r="F82" s="2" t="n">
        <v>2000</v>
      </c>
      <c r="G82" s="2" t="n">
        <v>3</v>
      </c>
      <c r="H82" s="2" t="n">
        <v>4</v>
      </c>
      <c r="I82" s="2" t="s">
        <v>789</v>
      </c>
    </row>
    <row r="83" customFormat="false" ht="15" hidden="false" customHeight="false" outlineLevel="0" collapsed="false">
      <c r="A83" s="3" t="n">
        <v>82</v>
      </c>
      <c r="B83" s="3" t="s">
        <v>790</v>
      </c>
      <c r="C83" s="3" t="s">
        <v>145</v>
      </c>
      <c r="D83" s="3" t="s">
        <v>791</v>
      </c>
      <c r="E83" s="3" t="s">
        <v>792</v>
      </c>
      <c r="F83" s="3" t="n">
        <v>2300</v>
      </c>
      <c r="G83" s="3" t="n">
        <v>4</v>
      </c>
      <c r="H83" s="3" t="n">
        <v>8</v>
      </c>
      <c r="I83" s="3" t="s">
        <v>793</v>
      </c>
    </row>
    <row r="84" customFormat="false" ht="15" hidden="false" customHeight="false" outlineLevel="0" collapsed="false">
      <c r="A84" s="2" t="n">
        <v>83</v>
      </c>
      <c r="B84" s="2" t="s">
        <v>794</v>
      </c>
      <c r="C84" s="2" t="s">
        <v>90</v>
      </c>
      <c r="D84" s="2" t="s">
        <v>795</v>
      </c>
      <c r="E84" s="2" t="s">
        <v>796</v>
      </c>
      <c r="F84" s="2" t="n">
        <v>2300</v>
      </c>
      <c r="G84" s="2" t="n">
        <v>4</v>
      </c>
      <c r="H84" s="2" t="n">
        <v>8</v>
      </c>
      <c r="I84" s="2" t="s">
        <v>797</v>
      </c>
    </row>
    <row r="85" customFormat="false" ht="15" hidden="false" customHeight="false" outlineLevel="0" collapsed="false">
      <c r="A85" s="3" t="n">
        <v>84</v>
      </c>
      <c r="B85" s="3" t="s">
        <v>798</v>
      </c>
      <c r="C85" s="3" t="s">
        <v>32</v>
      </c>
      <c r="D85" s="3" t="s">
        <v>267</v>
      </c>
      <c r="E85" s="3" t="s">
        <v>799</v>
      </c>
      <c r="F85" s="3" t="n">
        <v>2300</v>
      </c>
      <c r="G85" s="3" t="n">
        <v>4</v>
      </c>
      <c r="H85" s="3" t="n">
        <v>8</v>
      </c>
      <c r="I85" s="3" t="s">
        <v>800</v>
      </c>
    </row>
    <row r="86" customFormat="false" ht="15" hidden="false" customHeight="false" outlineLevel="0" collapsed="false">
      <c r="A86" s="2" t="n">
        <v>85</v>
      </c>
      <c r="B86" s="2" t="s">
        <v>801</v>
      </c>
      <c r="C86" s="2" t="s">
        <v>40</v>
      </c>
      <c r="D86" s="2" t="s">
        <v>802</v>
      </c>
      <c r="E86" s="2" t="s">
        <v>269</v>
      </c>
      <c r="F86" s="2" t="n">
        <v>2400</v>
      </c>
      <c r="G86" s="2" t="n">
        <v>4</v>
      </c>
      <c r="H86" s="2" t="n">
        <v>8</v>
      </c>
      <c r="I86" s="2" t="s">
        <v>803</v>
      </c>
    </row>
    <row r="87" customFormat="false" ht="15" hidden="false" customHeight="false" outlineLevel="0" collapsed="false">
      <c r="A87" s="3" t="n">
        <v>86</v>
      </c>
      <c r="B87" s="3" t="s">
        <v>804</v>
      </c>
      <c r="C87" s="3" t="s">
        <v>36</v>
      </c>
      <c r="D87" s="3" t="s">
        <v>805</v>
      </c>
      <c r="E87" s="3" t="s">
        <v>806</v>
      </c>
      <c r="F87" s="3" t="n">
        <v>2200</v>
      </c>
      <c r="G87" s="3" t="n">
        <v>4</v>
      </c>
      <c r="H87" s="3" t="n">
        <v>6</v>
      </c>
      <c r="I87" s="3" t="s">
        <v>807</v>
      </c>
    </row>
    <row r="88" customFormat="false" ht="15" hidden="false" customHeight="false" outlineLevel="0" collapsed="false">
      <c r="A88" s="2" t="n">
        <v>87</v>
      </c>
      <c r="B88" s="2" t="s">
        <v>808</v>
      </c>
      <c r="C88" s="2" t="s">
        <v>107</v>
      </c>
      <c r="D88" s="2" t="s">
        <v>809</v>
      </c>
      <c r="E88" s="2" t="s">
        <v>810</v>
      </c>
      <c r="F88" s="2" t="n">
        <v>2300</v>
      </c>
      <c r="G88" s="2" t="n">
        <v>4</v>
      </c>
      <c r="H88" s="2" t="n">
        <v>8</v>
      </c>
      <c r="I88" s="2" t="s">
        <v>186</v>
      </c>
    </row>
    <row r="89" customFormat="false" ht="15" hidden="false" customHeight="false" outlineLevel="0" collapsed="false">
      <c r="A89" s="3" t="n">
        <v>88</v>
      </c>
      <c r="B89" s="3" t="s">
        <v>811</v>
      </c>
      <c r="C89" s="3" t="s">
        <v>762</v>
      </c>
      <c r="D89" s="3" t="s">
        <v>812</v>
      </c>
      <c r="E89" s="3" t="s">
        <v>813</v>
      </c>
      <c r="F89" s="3" t="n">
        <v>2100</v>
      </c>
      <c r="G89" s="3" t="n">
        <v>3</v>
      </c>
      <c r="H89" s="3" t="n">
        <v>6</v>
      </c>
      <c r="I89" s="3" t="s">
        <v>814</v>
      </c>
    </row>
    <row r="90" customFormat="false" ht="15" hidden="false" customHeight="false" outlineLevel="0" collapsed="false">
      <c r="A90" s="2" t="n">
        <v>89</v>
      </c>
      <c r="B90" s="2" t="s">
        <v>280</v>
      </c>
      <c r="C90" s="2" t="s">
        <v>79</v>
      </c>
      <c r="D90" s="2" t="s">
        <v>787</v>
      </c>
      <c r="E90" s="2" t="s">
        <v>729</v>
      </c>
      <c r="F90" s="2" t="n">
        <v>2000</v>
      </c>
      <c r="G90" s="2" t="n">
        <v>3</v>
      </c>
      <c r="H90" s="2" t="n">
        <v>4</v>
      </c>
      <c r="I90" s="2" t="s">
        <v>788</v>
      </c>
    </row>
    <row r="91" customFormat="false" ht="15" hidden="false" customHeight="false" outlineLevel="0" collapsed="false">
      <c r="A91" s="3" t="n">
        <v>90</v>
      </c>
      <c r="B91" s="3" t="s">
        <v>815</v>
      </c>
      <c r="C91" s="3" t="s">
        <v>816</v>
      </c>
      <c r="D91" s="3" t="s">
        <v>817</v>
      </c>
      <c r="E91" s="3" t="s">
        <v>818</v>
      </c>
      <c r="F91" s="3" t="n">
        <v>2000</v>
      </c>
      <c r="G91" s="3" t="n">
        <v>4</v>
      </c>
      <c r="H91" s="3" t="n">
        <v>4</v>
      </c>
      <c r="I91" s="3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820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5" hidden="false" customHeight="false" outlineLevel="0" collapsed="false">
      <c r="A2" s="2" t="n">
        <v>1</v>
      </c>
      <c r="B2" s="2" t="s">
        <v>821</v>
      </c>
      <c r="C2" s="2" t="s">
        <v>13</v>
      </c>
      <c r="D2" s="2" t="s">
        <v>822</v>
      </c>
      <c r="E2" s="2" t="s">
        <v>823</v>
      </c>
      <c r="F2" s="2" t="n">
        <v>2300</v>
      </c>
      <c r="G2" s="2" t="n">
        <v>4</v>
      </c>
      <c r="H2" s="2" t="n">
        <v>8</v>
      </c>
      <c r="I2" s="2" t="s">
        <v>824</v>
      </c>
    </row>
    <row r="3" customFormat="false" ht="15" hidden="false" customHeight="false" outlineLevel="0" collapsed="false">
      <c r="A3" s="3" t="n">
        <v>2</v>
      </c>
      <c r="B3" s="3" t="s">
        <v>825</v>
      </c>
      <c r="C3" s="3" t="s">
        <v>13</v>
      </c>
      <c r="D3" s="3" t="s">
        <v>826</v>
      </c>
      <c r="E3" s="3" t="s">
        <v>827</v>
      </c>
      <c r="F3" s="3" t="n">
        <v>2400</v>
      </c>
      <c r="G3" s="3" t="n">
        <v>4</v>
      </c>
      <c r="H3" s="3" t="n">
        <v>8</v>
      </c>
      <c r="I3" s="3" t="s">
        <v>828</v>
      </c>
    </row>
    <row r="4" customFormat="false" ht="15" hidden="false" customHeight="false" outlineLevel="0" collapsed="false">
      <c r="A4" s="2" t="n">
        <v>3</v>
      </c>
      <c r="B4" s="2" t="s">
        <v>829</v>
      </c>
      <c r="C4" s="2" t="s">
        <v>17</v>
      </c>
      <c r="D4" s="2" t="s">
        <v>830</v>
      </c>
      <c r="E4" s="2" t="s">
        <v>831</v>
      </c>
      <c r="F4" s="2" t="n">
        <v>2500</v>
      </c>
      <c r="G4" s="2" t="n">
        <v>4</v>
      </c>
      <c r="H4" s="2" t="n">
        <v>7</v>
      </c>
      <c r="I4" s="2" t="s">
        <v>832</v>
      </c>
    </row>
    <row r="5" customFormat="false" ht="15" hidden="false" customHeight="false" outlineLevel="0" collapsed="false">
      <c r="A5" s="3" t="n">
        <v>4</v>
      </c>
      <c r="B5" s="3" t="s">
        <v>833</v>
      </c>
      <c r="C5" s="3" t="s">
        <v>111</v>
      </c>
      <c r="D5" s="3" t="s">
        <v>834</v>
      </c>
      <c r="E5" s="3" t="s">
        <v>835</v>
      </c>
      <c r="F5" s="3" t="n">
        <v>2400</v>
      </c>
      <c r="G5" s="3" t="n">
        <v>4</v>
      </c>
      <c r="H5" s="3" t="n">
        <v>8</v>
      </c>
      <c r="I5" s="3" t="s">
        <v>836</v>
      </c>
    </row>
    <row r="6" customFormat="false" ht="15" hidden="false" customHeight="false" outlineLevel="0" collapsed="false">
      <c r="A6" s="2" t="n">
        <v>5</v>
      </c>
      <c r="B6" s="2" t="s">
        <v>837</v>
      </c>
      <c r="C6" s="2" t="s">
        <v>107</v>
      </c>
      <c r="D6" s="2" t="s">
        <v>838</v>
      </c>
      <c r="E6" s="2" t="s">
        <v>839</v>
      </c>
      <c r="F6" s="2" t="n">
        <v>2500</v>
      </c>
      <c r="G6" s="2" t="n">
        <v>4</v>
      </c>
      <c r="H6" s="2" t="n">
        <v>8</v>
      </c>
      <c r="I6" s="2" t="s">
        <v>840</v>
      </c>
    </row>
    <row r="7" customFormat="false" ht="15" hidden="false" customHeight="false" outlineLevel="0" collapsed="false">
      <c r="A7" s="3" t="n">
        <v>6</v>
      </c>
      <c r="B7" s="3" t="s">
        <v>841</v>
      </c>
      <c r="C7" s="3" t="s">
        <v>107</v>
      </c>
      <c r="D7" s="3" t="s">
        <v>842</v>
      </c>
      <c r="E7" s="3" t="s">
        <v>843</v>
      </c>
      <c r="F7" s="3" t="n">
        <v>2400</v>
      </c>
      <c r="G7" s="3" t="n">
        <v>4</v>
      </c>
      <c r="H7" s="3" t="n">
        <v>8</v>
      </c>
      <c r="I7" s="3" t="s">
        <v>844</v>
      </c>
    </row>
    <row r="8" customFormat="false" ht="15" hidden="false" customHeight="false" outlineLevel="0" collapsed="false">
      <c r="A8" s="2" t="n">
        <v>7</v>
      </c>
      <c r="B8" s="2" t="s">
        <v>845</v>
      </c>
      <c r="C8" s="2" t="s">
        <v>107</v>
      </c>
      <c r="D8" s="2" t="s">
        <v>846</v>
      </c>
      <c r="E8" s="2" t="s">
        <v>847</v>
      </c>
      <c r="F8" s="2" t="n">
        <v>2300</v>
      </c>
      <c r="G8" s="2" t="n">
        <v>4</v>
      </c>
      <c r="H8" s="2" t="n">
        <v>7</v>
      </c>
      <c r="I8" s="2" t="s">
        <v>848</v>
      </c>
    </row>
    <row r="9" customFormat="false" ht="15" hidden="false" customHeight="false" outlineLevel="0" collapsed="false">
      <c r="A9" s="3" t="n">
        <v>8</v>
      </c>
      <c r="B9" s="3" t="s">
        <v>849</v>
      </c>
      <c r="C9" s="3" t="s">
        <v>36</v>
      </c>
      <c r="D9" s="3" t="s">
        <v>524</v>
      </c>
      <c r="E9" s="3" t="s">
        <v>850</v>
      </c>
      <c r="F9" s="3" t="n">
        <v>2200</v>
      </c>
      <c r="G9" s="3" t="n">
        <v>4</v>
      </c>
      <c r="H9" s="3" t="n">
        <v>6</v>
      </c>
      <c r="I9" s="3" t="s">
        <v>851</v>
      </c>
    </row>
    <row r="10" customFormat="false" ht="15" hidden="false" customHeight="false" outlineLevel="0" collapsed="false">
      <c r="A10" s="2" t="n">
        <v>9</v>
      </c>
      <c r="B10" s="2" t="s">
        <v>852</v>
      </c>
      <c r="C10" s="2" t="s">
        <v>44</v>
      </c>
      <c r="D10" s="2" t="s">
        <v>853</v>
      </c>
      <c r="E10" s="2" t="s">
        <v>854</v>
      </c>
      <c r="F10" s="2" t="n">
        <v>2400</v>
      </c>
      <c r="G10" s="2" t="n">
        <v>4</v>
      </c>
      <c r="H10" s="2" t="n">
        <v>7</v>
      </c>
      <c r="I10" s="2" t="s">
        <v>855</v>
      </c>
    </row>
    <row r="11" customFormat="false" ht="15" hidden="false" customHeight="false" outlineLevel="0" collapsed="false">
      <c r="A11" s="3" t="n">
        <v>10</v>
      </c>
      <c r="B11" s="3" t="s">
        <v>856</v>
      </c>
      <c r="C11" s="3" t="s">
        <v>9</v>
      </c>
      <c r="D11" s="3" t="s">
        <v>857</v>
      </c>
      <c r="E11" s="3" t="s">
        <v>858</v>
      </c>
      <c r="F11" s="3" t="n">
        <v>2300</v>
      </c>
      <c r="G11" s="3" t="n">
        <v>4</v>
      </c>
      <c r="H11" s="3" t="n">
        <v>7</v>
      </c>
      <c r="I11" s="3" t="s">
        <v>859</v>
      </c>
    </row>
    <row r="12" customFormat="false" ht="15" hidden="false" customHeight="false" outlineLevel="0" collapsed="false">
      <c r="A12" s="2" t="n">
        <v>11</v>
      </c>
      <c r="B12" s="2" t="s">
        <v>860</v>
      </c>
      <c r="C12" s="2" t="s">
        <v>44</v>
      </c>
      <c r="D12" s="2" t="s">
        <v>861</v>
      </c>
      <c r="E12" s="2" t="s">
        <v>862</v>
      </c>
      <c r="F12" s="2" t="n">
        <v>2200</v>
      </c>
      <c r="G12" s="2" t="n">
        <v>4</v>
      </c>
      <c r="H12" s="2" t="n">
        <v>6</v>
      </c>
      <c r="I12" s="2" t="s">
        <v>863</v>
      </c>
    </row>
    <row r="13" customFormat="false" ht="15" hidden="false" customHeight="false" outlineLevel="0" collapsed="false">
      <c r="A13" s="3" t="n">
        <v>12</v>
      </c>
      <c r="B13" s="3" t="s">
        <v>864</v>
      </c>
      <c r="C13" s="3" t="s">
        <v>40</v>
      </c>
      <c r="D13" s="3" t="s">
        <v>865</v>
      </c>
      <c r="E13" s="3" t="s">
        <v>866</v>
      </c>
      <c r="F13" s="3" t="n">
        <v>2300</v>
      </c>
      <c r="G13" s="3" t="n">
        <v>4</v>
      </c>
      <c r="H13" s="3" t="n">
        <v>6</v>
      </c>
      <c r="I13" s="3" t="s">
        <v>867</v>
      </c>
    </row>
    <row r="14" customFormat="false" ht="15" hidden="false" customHeight="false" outlineLevel="0" collapsed="false">
      <c r="A14" s="2" t="n">
        <v>13</v>
      </c>
      <c r="B14" s="2" t="s">
        <v>338</v>
      </c>
      <c r="C14" s="2" t="s">
        <v>44</v>
      </c>
      <c r="D14" s="2" t="s">
        <v>868</v>
      </c>
      <c r="E14" s="2" t="s">
        <v>869</v>
      </c>
      <c r="F14" s="2" t="n">
        <v>2500</v>
      </c>
      <c r="G14" s="2" t="n">
        <v>4</v>
      </c>
      <c r="H14" s="2" t="n">
        <v>8</v>
      </c>
      <c r="I14" s="2" t="s">
        <v>870</v>
      </c>
    </row>
    <row r="15" customFormat="false" ht="15" hidden="false" customHeight="false" outlineLevel="0" collapsed="false">
      <c r="A15" s="3" t="n">
        <v>14</v>
      </c>
      <c r="B15" s="3" t="s">
        <v>871</v>
      </c>
      <c r="C15" s="3" t="s">
        <v>57</v>
      </c>
      <c r="D15" s="3" t="s">
        <v>872</v>
      </c>
      <c r="E15" s="3" t="s">
        <v>873</v>
      </c>
      <c r="F15" s="3" t="n">
        <v>2200</v>
      </c>
      <c r="G15" s="3" t="n">
        <v>4</v>
      </c>
      <c r="H15" s="3" t="n">
        <v>7</v>
      </c>
      <c r="I15" s="3" t="s">
        <v>361</v>
      </c>
    </row>
    <row r="16" customFormat="false" ht="15" hidden="false" customHeight="false" outlineLevel="0" collapsed="false">
      <c r="A16" s="2" t="n">
        <v>15</v>
      </c>
      <c r="B16" s="2" t="s">
        <v>123</v>
      </c>
      <c r="C16" s="2" t="s">
        <v>107</v>
      </c>
      <c r="D16" s="2" t="s">
        <v>874</v>
      </c>
      <c r="E16" s="2" t="s">
        <v>875</v>
      </c>
      <c r="F16" s="2" t="n">
        <v>2300</v>
      </c>
      <c r="G16" s="2" t="n">
        <v>4</v>
      </c>
      <c r="H16" s="2" t="n">
        <v>8</v>
      </c>
      <c r="I16" s="2" t="s">
        <v>876</v>
      </c>
    </row>
    <row r="17" customFormat="false" ht="15" hidden="false" customHeight="false" outlineLevel="0" collapsed="false">
      <c r="A17" s="3" t="n">
        <v>16</v>
      </c>
      <c r="B17" s="3" t="s">
        <v>877</v>
      </c>
      <c r="C17" s="3" t="s">
        <v>36</v>
      </c>
      <c r="D17" s="3" t="s">
        <v>878</v>
      </c>
      <c r="E17" s="3" t="s">
        <v>879</v>
      </c>
      <c r="F17" s="3" t="n">
        <v>2400</v>
      </c>
      <c r="G17" s="3" t="n">
        <v>4</v>
      </c>
      <c r="H17" s="3" t="n">
        <v>8</v>
      </c>
      <c r="I17" s="3" t="s">
        <v>880</v>
      </c>
    </row>
    <row r="18" customFormat="false" ht="15" hidden="false" customHeight="false" outlineLevel="0" collapsed="false">
      <c r="A18" s="2" t="n">
        <v>17</v>
      </c>
      <c r="B18" s="2" t="s">
        <v>881</v>
      </c>
      <c r="C18" s="2" t="s">
        <v>355</v>
      </c>
      <c r="D18" s="2" t="s">
        <v>882</v>
      </c>
      <c r="E18" s="2" t="s">
        <v>883</v>
      </c>
      <c r="F18" s="2" t="n">
        <v>2500</v>
      </c>
      <c r="G18" s="2" t="n">
        <v>4</v>
      </c>
      <c r="H18" s="2" t="n">
        <v>8</v>
      </c>
      <c r="I18" s="2" t="s">
        <v>358</v>
      </c>
    </row>
    <row r="19" customFormat="false" ht="15" hidden="false" customHeight="false" outlineLevel="0" collapsed="false">
      <c r="A19" s="3" t="n">
        <v>18</v>
      </c>
      <c r="B19" s="3" t="s">
        <v>884</v>
      </c>
      <c r="C19" s="3" t="s">
        <v>57</v>
      </c>
      <c r="D19" s="3" t="s">
        <v>872</v>
      </c>
      <c r="E19" s="3" t="s">
        <v>885</v>
      </c>
      <c r="F19" s="3" t="n">
        <v>2300</v>
      </c>
      <c r="G19" s="3" t="n">
        <v>4</v>
      </c>
      <c r="H19" s="3" t="n">
        <v>8</v>
      </c>
      <c r="I19" s="3" t="s">
        <v>701</v>
      </c>
    </row>
    <row r="20" customFormat="false" ht="15" hidden="false" customHeight="false" outlineLevel="0" collapsed="false">
      <c r="A20" s="2" t="n">
        <v>19</v>
      </c>
      <c r="B20" s="2" t="s">
        <v>886</v>
      </c>
      <c r="C20" s="2" t="s">
        <v>57</v>
      </c>
      <c r="D20" s="2" t="s">
        <v>887</v>
      </c>
      <c r="E20" s="2" t="s">
        <v>735</v>
      </c>
      <c r="F20" s="2" t="n">
        <v>2300</v>
      </c>
      <c r="G20" s="2" t="n">
        <v>4</v>
      </c>
      <c r="H20" s="2" t="n">
        <v>8</v>
      </c>
      <c r="I20" s="2" t="s">
        <v>888</v>
      </c>
    </row>
    <row r="21" customFormat="false" ht="15" hidden="false" customHeight="false" outlineLevel="0" collapsed="false">
      <c r="A21" s="3" t="n">
        <v>20</v>
      </c>
      <c r="B21" s="3" t="s">
        <v>889</v>
      </c>
      <c r="C21" s="3" t="s">
        <v>36</v>
      </c>
      <c r="D21" s="3" t="s">
        <v>890</v>
      </c>
      <c r="E21" s="3" t="s">
        <v>891</v>
      </c>
      <c r="F21" s="3" t="n">
        <v>2200</v>
      </c>
      <c r="G21" s="3" t="n">
        <v>4</v>
      </c>
      <c r="H21" s="3" t="n">
        <v>6</v>
      </c>
      <c r="I21" s="3" t="s">
        <v>892</v>
      </c>
    </row>
    <row r="22" customFormat="false" ht="15" hidden="false" customHeight="false" outlineLevel="0" collapsed="false">
      <c r="A22" s="2" t="n">
        <v>21</v>
      </c>
      <c r="B22" s="2" t="s">
        <v>582</v>
      </c>
      <c r="C22" s="2" t="s">
        <v>79</v>
      </c>
      <c r="D22" s="2" t="s">
        <v>78</v>
      </c>
      <c r="E22" s="2" t="s">
        <v>893</v>
      </c>
      <c r="F22" s="2" t="n">
        <v>2000</v>
      </c>
      <c r="G22" s="2" t="n">
        <v>3</v>
      </c>
      <c r="H22" s="2" t="n">
        <v>4</v>
      </c>
      <c r="I22" s="2" t="s">
        <v>894</v>
      </c>
    </row>
    <row r="23" customFormat="false" ht="15" hidden="false" customHeight="false" outlineLevel="0" collapsed="false">
      <c r="A23" s="3" t="n">
        <v>22</v>
      </c>
      <c r="B23" s="3" t="s">
        <v>895</v>
      </c>
      <c r="C23" s="3" t="s">
        <v>107</v>
      </c>
      <c r="D23" s="3" t="s">
        <v>130</v>
      </c>
      <c r="E23" s="3" t="s">
        <v>896</v>
      </c>
      <c r="F23" s="3" t="n">
        <v>2300</v>
      </c>
      <c r="G23" s="3" t="n">
        <v>4</v>
      </c>
      <c r="H23" s="3" t="n">
        <v>8</v>
      </c>
      <c r="I23" s="3" t="s">
        <v>897</v>
      </c>
    </row>
    <row r="24" customFormat="false" ht="15" hidden="false" customHeight="false" outlineLevel="0" collapsed="false">
      <c r="A24" s="2" t="n">
        <v>23</v>
      </c>
      <c r="B24" s="2" t="s">
        <v>898</v>
      </c>
      <c r="C24" s="2" t="s">
        <v>83</v>
      </c>
      <c r="D24" s="2" t="s">
        <v>899</v>
      </c>
      <c r="E24" s="2" t="s">
        <v>900</v>
      </c>
      <c r="F24" s="2" t="n">
        <v>2400</v>
      </c>
      <c r="G24" s="2" t="n">
        <v>4</v>
      </c>
      <c r="H24" s="2" t="n">
        <v>8</v>
      </c>
      <c r="I24" s="2" t="s">
        <v>901</v>
      </c>
    </row>
    <row r="25" customFormat="false" ht="15" hidden="false" customHeight="false" outlineLevel="0" collapsed="false">
      <c r="A25" s="3" t="n">
        <v>24</v>
      </c>
      <c r="B25" s="3" t="s">
        <v>374</v>
      </c>
      <c r="C25" s="3" t="s">
        <v>90</v>
      </c>
      <c r="D25" s="3" t="s">
        <v>91</v>
      </c>
      <c r="E25" s="3" t="s">
        <v>902</v>
      </c>
      <c r="F25" s="3" t="n">
        <v>2200</v>
      </c>
      <c r="G25" s="3" t="n">
        <v>4</v>
      </c>
      <c r="H25" s="3" t="n">
        <v>7</v>
      </c>
      <c r="I25" s="3" t="s">
        <v>89</v>
      </c>
    </row>
    <row r="26" customFormat="false" ht="15" hidden="false" customHeight="false" outlineLevel="0" collapsed="false">
      <c r="A26" s="2" t="n">
        <v>25</v>
      </c>
      <c r="B26" s="2" t="s">
        <v>903</v>
      </c>
      <c r="C26" s="2" t="s">
        <v>107</v>
      </c>
      <c r="D26" s="2" t="s">
        <v>904</v>
      </c>
      <c r="E26" s="2" t="s">
        <v>905</v>
      </c>
      <c r="F26" s="2" t="n">
        <v>2300</v>
      </c>
      <c r="G26" s="2" t="n">
        <v>4</v>
      </c>
      <c r="H26" s="2" t="n">
        <v>8</v>
      </c>
      <c r="I26" s="2" t="s">
        <v>906</v>
      </c>
    </row>
    <row r="27" customFormat="false" ht="15" hidden="false" customHeight="false" outlineLevel="0" collapsed="false">
      <c r="A27" s="3" t="n">
        <v>26</v>
      </c>
      <c r="B27" s="3" t="s">
        <v>907</v>
      </c>
      <c r="C27" s="3" t="s">
        <v>44</v>
      </c>
      <c r="D27" s="3" t="s">
        <v>908</v>
      </c>
      <c r="E27" s="3" t="s">
        <v>599</v>
      </c>
      <c r="F27" s="3" t="n">
        <v>2400</v>
      </c>
      <c r="G27" s="3" t="n">
        <v>4</v>
      </c>
      <c r="H27" s="3" t="n">
        <v>8</v>
      </c>
      <c r="I27" s="3" t="s">
        <v>909</v>
      </c>
    </row>
    <row r="28" customFormat="false" ht="15" hidden="false" customHeight="false" outlineLevel="0" collapsed="false">
      <c r="A28" s="2" t="n">
        <v>27</v>
      </c>
      <c r="B28" s="2" t="s">
        <v>910</v>
      </c>
      <c r="C28" s="2" t="s">
        <v>40</v>
      </c>
      <c r="D28" s="2" t="s">
        <v>911</v>
      </c>
      <c r="E28" s="2" t="s">
        <v>139</v>
      </c>
      <c r="F28" s="2" t="n">
        <v>2300</v>
      </c>
      <c r="G28" s="2" t="n">
        <v>4</v>
      </c>
      <c r="H28" s="2" t="n">
        <v>7</v>
      </c>
      <c r="I28" s="2" t="s">
        <v>912</v>
      </c>
    </row>
    <row r="29" customFormat="false" ht="15" hidden="false" customHeight="false" outlineLevel="0" collapsed="false">
      <c r="A29" s="3" t="n">
        <v>28</v>
      </c>
      <c r="B29" s="3" t="s">
        <v>913</v>
      </c>
      <c r="C29" s="3" t="s">
        <v>79</v>
      </c>
      <c r="D29" s="3" t="s">
        <v>914</v>
      </c>
      <c r="E29" s="3" t="s">
        <v>915</v>
      </c>
      <c r="F29" s="3" t="n">
        <v>2000</v>
      </c>
      <c r="G29" s="3" t="n">
        <v>3</v>
      </c>
      <c r="H29" s="3" t="n">
        <v>4</v>
      </c>
      <c r="I29" s="3" t="s">
        <v>605</v>
      </c>
    </row>
    <row r="30" customFormat="false" ht="15" hidden="false" customHeight="false" outlineLevel="0" collapsed="false">
      <c r="A30" s="2" t="n">
        <v>29</v>
      </c>
      <c r="B30" s="2" t="s">
        <v>916</v>
      </c>
      <c r="C30" s="2" t="s">
        <v>107</v>
      </c>
      <c r="D30" s="2" t="s">
        <v>917</v>
      </c>
      <c r="E30" s="2" t="s">
        <v>918</v>
      </c>
      <c r="F30" s="2" t="n">
        <v>2400</v>
      </c>
      <c r="G30" s="2" t="n">
        <v>4</v>
      </c>
      <c r="H30" s="2" t="n">
        <v>8</v>
      </c>
      <c r="I30" s="2" t="s">
        <v>919</v>
      </c>
    </row>
    <row r="31" customFormat="false" ht="15" hidden="false" customHeight="false" outlineLevel="0" collapsed="false">
      <c r="A31" s="3" t="n">
        <v>30</v>
      </c>
      <c r="B31" s="3" t="s">
        <v>920</v>
      </c>
      <c r="C31" s="3" t="s">
        <v>57</v>
      </c>
      <c r="D31" s="3" t="s">
        <v>921</v>
      </c>
      <c r="E31" s="3" t="s">
        <v>922</v>
      </c>
      <c r="F31" s="3" t="n">
        <v>2500</v>
      </c>
      <c r="G31" s="3" t="n">
        <v>4</v>
      </c>
      <c r="H31" s="3" t="n">
        <v>8</v>
      </c>
      <c r="I31" s="3" t="s">
        <v>923</v>
      </c>
    </row>
    <row r="32" customFormat="false" ht="15" hidden="false" customHeight="false" outlineLevel="0" collapsed="false">
      <c r="A32" s="2" t="n">
        <v>31</v>
      </c>
      <c r="B32" s="2" t="s">
        <v>924</v>
      </c>
      <c r="C32" s="2" t="s">
        <v>44</v>
      </c>
      <c r="D32" s="2" t="s">
        <v>925</v>
      </c>
      <c r="E32" s="2" t="s">
        <v>926</v>
      </c>
      <c r="F32" s="2" t="n">
        <v>2500</v>
      </c>
      <c r="G32" s="2" t="n">
        <v>4</v>
      </c>
      <c r="H32" s="2" t="n">
        <v>8</v>
      </c>
      <c r="I32" s="2" t="s">
        <v>927</v>
      </c>
    </row>
    <row r="33" customFormat="false" ht="15" hidden="false" customHeight="false" outlineLevel="0" collapsed="false">
      <c r="A33" s="3" t="n">
        <v>32</v>
      </c>
      <c r="B33" s="3" t="s">
        <v>928</v>
      </c>
      <c r="C33" s="3" t="s">
        <v>57</v>
      </c>
      <c r="D33" s="3" t="s">
        <v>642</v>
      </c>
      <c r="E33" s="3" t="s">
        <v>929</v>
      </c>
      <c r="F33" s="3" t="n">
        <v>2400</v>
      </c>
      <c r="G33" s="3" t="n">
        <v>4</v>
      </c>
      <c r="H33" s="3" t="n">
        <v>8</v>
      </c>
      <c r="I33" s="3" t="s">
        <v>930</v>
      </c>
    </row>
    <row r="34" customFormat="false" ht="15" hidden="false" customHeight="false" outlineLevel="0" collapsed="false">
      <c r="A34" s="2" t="n">
        <v>33</v>
      </c>
      <c r="B34" s="2" t="s">
        <v>931</v>
      </c>
      <c r="C34" s="2" t="s">
        <v>36</v>
      </c>
      <c r="D34" s="2" t="s">
        <v>932</v>
      </c>
      <c r="E34" s="2" t="s">
        <v>933</v>
      </c>
      <c r="F34" s="2" t="n">
        <v>2300</v>
      </c>
      <c r="G34" s="2" t="n">
        <v>4</v>
      </c>
      <c r="H34" s="2" t="n">
        <v>7</v>
      </c>
      <c r="I34" s="2" t="s">
        <v>934</v>
      </c>
    </row>
    <row r="35" customFormat="false" ht="15" hidden="false" customHeight="false" outlineLevel="0" collapsed="false">
      <c r="A35" s="3" t="n">
        <v>34</v>
      </c>
      <c r="B35" s="3" t="s">
        <v>935</v>
      </c>
      <c r="C35" s="3" t="s">
        <v>36</v>
      </c>
      <c r="D35" s="3" t="s">
        <v>936</v>
      </c>
      <c r="E35" s="3" t="s">
        <v>937</v>
      </c>
      <c r="F35" s="3" t="n">
        <v>2400</v>
      </c>
      <c r="G35" s="3" t="n">
        <v>4</v>
      </c>
      <c r="H35" s="3" t="n">
        <v>8</v>
      </c>
      <c r="I35" s="3" t="s">
        <v>938</v>
      </c>
    </row>
    <row r="36" customFormat="false" ht="15" hidden="false" customHeight="false" outlineLevel="0" collapsed="false">
      <c r="A36" s="2" t="n">
        <v>35</v>
      </c>
      <c r="B36" s="2" t="s">
        <v>583</v>
      </c>
      <c r="C36" s="2" t="s">
        <v>83</v>
      </c>
      <c r="D36" s="2" t="s">
        <v>939</v>
      </c>
      <c r="E36" s="2" t="s">
        <v>940</v>
      </c>
      <c r="F36" s="2" t="n">
        <v>2300</v>
      </c>
      <c r="G36" s="2" t="n">
        <v>4</v>
      </c>
      <c r="H36" s="2" t="n">
        <v>8</v>
      </c>
      <c r="I36" s="2" t="s">
        <v>941</v>
      </c>
    </row>
    <row r="37" customFormat="false" ht="15" hidden="false" customHeight="false" outlineLevel="0" collapsed="false">
      <c r="A37" s="3" t="n">
        <v>36</v>
      </c>
      <c r="B37" s="3" t="s">
        <v>942</v>
      </c>
      <c r="C37" s="3" t="s">
        <v>943</v>
      </c>
      <c r="D37" s="3" t="s">
        <v>944</v>
      </c>
      <c r="E37" s="3" t="s">
        <v>945</v>
      </c>
      <c r="F37" s="3" t="n">
        <v>2200</v>
      </c>
      <c r="G37" s="3" t="n">
        <v>4</v>
      </c>
      <c r="H37" s="3" t="n">
        <v>7</v>
      </c>
      <c r="I37" s="3" t="s">
        <v>946</v>
      </c>
    </row>
    <row r="38" customFormat="false" ht="15" hidden="false" customHeight="false" outlineLevel="0" collapsed="false">
      <c r="A38" s="2" t="n">
        <v>37</v>
      </c>
      <c r="B38" s="2" t="s">
        <v>881</v>
      </c>
      <c r="C38" s="2" t="s">
        <v>355</v>
      </c>
      <c r="D38" s="2" t="s">
        <v>947</v>
      </c>
      <c r="E38" s="2" t="s">
        <v>948</v>
      </c>
      <c r="F38" s="2" t="n">
        <v>2500</v>
      </c>
      <c r="G38" s="2" t="n">
        <v>4</v>
      </c>
      <c r="H38" s="2" t="n">
        <v>8</v>
      </c>
      <c r="I38" s="2" t="s">
        <v>257</v>
      </c>
    </row>
    <row r="39" customFormat="false" ht="15" hidden="false" customHeight="false" outlineLevel="0" collapsed="false">
      <c r="A39" s="3" t="n">
        <v>38</v>
      </c>
      <c r="B39" s="3" t="s">
        <v>949</v>
      </c>
      <c r="C39" s="3" t="s">
        <v>57</v>
      </c>
      <c r="D39" s="3" t="s">
        <v>950</v>
      </c>
      <c r="E39" s="3" t="s">
        <v>951</v>
      </c>
      <c r="F39" s="3" t="n">
        <v>2300</v>
      </c>
      <c r="G39" s="3" t="n">
        <v>4</v>
      </c>
      <c r="H39" s="3" t="n">
        <v>8</v>
      </c>
      <c r="I39" s="3" t="s">
        <v>952</v>
      </c>
    </row>
    <row r="40" customFormat="false" ht="15" hidden="false" customHeight="false" outlineLevel="0" collapsed="false">
      <c r="A40" s="2" t="n">
        <v>39</v>
      </c>
      <c r="B40" s="2" t="s">
        <v>953</v>
      </c>
      <c r="C40" s="2" t="s">
        <v>107</v>
      </c>
      <c r="D40" s="2" t="s">
        <v>954</v>
      </c>
      <c r="E40" s="2" t="s">
        <v>955</v>
      </c>
      <c r="F40" s="2" t="n">
        <v>2200</v>
      </c>
      <c r="G40" s="2" t="n">
        <v>4</v>
      </c>
      <c r="H40" s="2" t="n">
        <v>7</v>
      </c>
      <c r="I40" s="2" t="s">
        <v>956</v>
      </c>
    </row>
    <row r="41" customFormat="false" ht="15" hidden="false" customHeight="false" outlineLevel="0" collapsed="false">
      <c r="A41" s="3" t="n">
        <v>40</v>
      </c>
      <c r="B41" s="3" t="s">
        <v>957</v>
      </c>
      <c r="C41" s="3" t="s">
        <v>958</v>
      </c>
      <c r="D41" s="3" t="s">
        <v>959</v>
      </c>
      <c r="E41" s="3" t="s">
        <v>960</v>
      </c>
      <c r="F41" s="3" t="n">
        <v>2300</v>
      </c>
      <c r="G41" s="3" t="n">
        <v>4</v>
      </c>
      <c r="H41" s="3" t="n">
        <v>8</v>
      </c>
      <c r="I41" s="3" t="s">
        <v>961</v>
      </c>
    </row>
    <row r="42" customFormat="false" ht="15" hidden="false" customHeight="false" outlineLevel="0" collapsed="false">
      <c r="A42" s="2" t="n">
        <v>41</v>
      </c>
      <c r="B42" s="2" t="s">
        <v>962</v>
      </c>
      <c r="C42" s="2" t="s">
        <v>79</v>
      </c>
      <c r="D42" s="2" t="s">
        <v>963</v>
      </c>
      <c r="E42" s="2" t="s">
        <v>964</v>
      </c>
      <c r="F42" s="2" t="n">
        <v>2000</v>
      </c>
      <c r="G42" s="2" t="n">
        <v>3</v>
      </c>
      <c r="H42" s="2" t="n">
        <v>4</v>
      </c>
      <c r="I42" s="2" t="s">
        <v>965</v>
      </c>
    </row>
    <row r="43" customFormat="false" ht="15" hidden="false" customHeight="false" outlineLevel="0" collapsed="false">
      <c r="A43" s="3" t="n">
        <v>42</v>
      </c>
      <c r="B43" s="3" t="s">
        <v>172</v>
      </c>
      <c r="C43" s="3" t="s">
        <v>79</v>
      </c>
      <c r="D43" s="3" t="s">
        <v>966</v>
      </c>
      <c r="E43" s="3" t="s">
        <v>967</v>
      </c>
      <c r="F43" s="3" t="n">
        <v>2000</v>
      </c>
      <c r="G43" s="3" t="n">
        <v>3</v>
      </c>
      <c r="H43" s="3" t="n">
        <v>4</v>
      </c>
      <c r="I43" s="3" t="s">
        <v>605</v>
      </c>
    </row>
    <row r="44" customFormat="false" ht="15" hidden="false" customHeight="false" outlineLevel="0" collapsed="false">
      <c r="A44" s="2" t="n">
        <v>43</v>
      </c>
      <c r="B44" s="2" t="s">
        <v>968</v>
      </c>
      <c r="C44" s="2" t="s">
        <v>762</v>
      </c>
      <c r="D44" s="2" t="s">
        <v>969</v>
      </c>
      <c r="E44" s="2" t="s">
        <v>970</v>
      </c>
      <c r="F44" s="2" t="n">
        <v>2200</v>
      </c>
      <c r="G44" s="2" t="n">
        <v>3</v>
      </c>
      <c r="H44" s="2" t="n">
        <v>6</v>
      </c>
      <c r="I44" s="2" t="s">
        <v>971</v>
      </c>
    </row>
    <row r="45" customFormat="false" ht="15" hidden="false" customHeight="false" outlineLevel="0" collapsed="false">
      <c r="A45" s="3" t="n">
        <v>44</v>
      </c>
      <c r="B45" s="3" t="s">
        <v>216</v>
      </c>
      <c r="C45" s="3" t="s">
        <v>145</v>
      </c>
      <c r="D45" s="3" t="s">
        <v>972</v>
      </c>
      <c r="E45" s="3" t="s">
        <v>973</v>
      </c>
      <c r="F45" s="3" t="n">
        <v>2100</v>
      </c>
      <c r="G45" s="3" t="n">
        <v>4</v>
      </c>
      <c r="H45" s="3" t="n">
        <v>6</v>
      </c>
      <c r="I45" s="3" t="s">
        <v>974</v>
      </c>
    </row>
    <row r="46" customFormat="false" ht="15" hidden="false" customHeight="false" outlineLevel="0" collapsed="false">
      <c r="A46" s="2" t="n">
        <v>45</v>
      </c>
      <c r="B46" s="2" t="s">
        <v>230</v>
      </c>
      <c r="C46" s="2" t="s">
        <v>231</v>
      </c>
      <c r="D46" s="2" t="s">
        <v>232</v>
      </c>
      <c r="E46" s="2" t="s">
        <v>975</v>
      </c>
      <c r="F46" s="2" t="n">
        <v>2100</v>
      </c>
      <c r="G46" s="2" t="n">
        <v>3</v>
      </c>
      <c r="H46" s="2" t="n">
        <v>5</v>
      </c>
      <c r="I46" s="2" t="s">
        <v>976</v>
      </c>
    </row>
    <row r="47" customFormat="false" ht="15" hidden="false" customHeight="false" outlineLevel="0" collapsed="false">
      <c r="A47" s="3" t="n">
        <v>46</v>
      </c>
      <c r="B47" s="3" t="s">
        <v>977</v>
      </c>
      <c r="C47" s="3" t="s">
        <v>44</v>
      </c>
      <c r="D47" s="3" t="s">
        <v>978</v>
      </c>
      <c r="E47" s="3" t="s">
        <v>979</v>
      </c>
      <c r="F47" s="3" t="n">
        <v>2300</v>
      </c>
      <c r="G47" s="3" t="n">
        <v>4</v>
      </c>
      <c r="H47" s="3" t="n">
        <v>7</v>
      </c>
      <c r="I47" s="3" t="s">
        <v>980</v>
      </c>
    </row>
    <row r="48" customFormat="false" ht="15" hidden="false" customHeight="false" outlineLevel="0" collapsed="false">
      <c r="A48" s="2" t="n">
        <v>47</v>
      </c>
      <c r="B48" s="2" t="s">
        <v>981</v>
      </c>
      <c r="C48" s="2" t="s">
        <v>32</v>
      </c>
      <c r="D48" s="2" t="s">
        <v>982</v>
      </c>
      <c r="E48" s="2" t="s">
        <v>983</v>
      </c>
      <c r="F48" s="2" t="n">
        <v>2100</v>
      </c>
      <c r="G48" s="2" t="n">
        <v>4</v>
      </c>
      <c r="H48" s="2" t="n">
        <v>6</v>
      </c>
      <c r="I48" s="2" t="s">
        <v>984</v>
      </c>
    </row>
    <row r="49" customFormat="false" ht="15" hidden="false" customHeight="false" outlineLevel="0" collapsed="false">
      <c r="A49" s="3" t="n">
        <v>48</v>
      </c>
      <c r="B49" s="3" t="s">
        <v>985</v>
      </c>
      <c r="C49" s="3" t="s">
        <v>32</v>
      </c>
      <c r="D49" s="3" t="s">
        <v>986</v>
      </c>
      <c r="E49" s="3" t="s">
        <v>987</v>
      </c>
      <c r="F49" s="3" t="n">
        <v>2100</v>
      </c>
      <c r="G49" s="3" t="n">
        <v>4</v>
      </c>
      <c r="H49" s="3" t="n">
        <v>6</v>
      </c>
      <c r="I49" s="3" t="s">
        <v>988</v>
      </c>
    </row>
    <row r="50" customFormat="false" ht="15" hidden="false" customHeight="false" outlineLevel="0" collapsed="false">
      <c r="A50" s="2" t="n">
        <v>49</v>
      </c>
      <c r="B50" s="2" t="s">
        <v>374</v>
      </c>
      <c r="C50" s="2" t="s">
        <v>90</v>
      </c>
      <c r="D50" s="2" t="s">
        <v>989</v>
      </c>
      <c r="E50" s="2" t="s">
        <v>990</v>
      </c>
      <c r="F50" s="2" t="n">
        <v>2200</v>
      </c>
      <c r="G50" s="2" t="n">
        <v>4</v>
      </c>
      <c r="H50" s="2" t="n">
        <v>7</v>
      </c>
      <c r="I50" s="2" t="s">
        <v>991</v>
      </c>
    </row>
    <row r="51" customFormat="false" ht="15" hidden="false" customHeight="false" outlineLevel="0" collapsed="false">
      <c r="A51" s="3" t="n">
        <v>50</v>
      </c>
      <c r="B51" s="3" t="s">
        <v>992</v>
      </c>
      <c r="C51" s="3" t="s">
        <v>79</v>
      </c>
      <c r="D51" s="3" t="s">
        <v>993</v>
      </c>
      <c r="E51" s="3" t="s">
        <v>994</v>
      </c>
      <c r="F51" s="3" t="n">
        <v>2000</v>
      </c>
      <c r="G51" s="3" t="n">
        <v>3</v>
      </c>
      <c r="H51" s="3" t="n">
        <v>4</v>
      </c>
      <c r="I51" s="3" t="s">
        <v>995</v>
      </c>
    </row>
    <row r="52" customFormat="false" ht="15" hidden="false" customHeight="false" outlineLevel="0" collapsed="false">
      <c r="A52" s="2" t="n">
        <v>51</v>
      </c>
      <c r="B52" s="2" t="s">
        <v>996</v>
      </c>
      <c r="C52" s="2" t="s">
        <v>44</v>
      </c>
      <c r="D52" s="2" t="s">
        <v>997</v>
      </c>
      <c r="E52" s="2" t="s">
        <v>998</v>
      </c>
      <c r="F52" s="2" t="n">
        <v>2300</v>
      </c>
      <c r="G52" s="2" t="n">
        <v>4</v>
      </c>
      <c r="H52" s="2" t="n">
        <v>7</v>
      </c>
      <c r="I52" s="2" t="s">
        <v>999</v>
      </c>
    </row>
    <row r="53" customFormat="false" ht="15" hidden="false" customHeight="false" outlineLevel="0" collapsed="false">
      <c r="A53" s="3" t="n">
        <v>52</v>
      </c>
      <c r="B53" s="3" t="s">
        <v>1000</v>
      </c>
      <c r="C53" s="3" t="s">
        <v>40</v>
      </c>
      <c r="D53" s="3" t="s">
        <v>1001</v>
      </c>
      <c r="E53" s="3" t="s">
        <v>1002</v>
      </c>
      <c r="F53" s="3" t="n">
        <v>2200</v>
      </c>
      <c r="G53" s="3" t="n">
        <v>4</v>
      </c>
      <c r="H53" s="3" t="n">
        <v>6</v>
      </c>
      <c r="I53" s="3" t="s">
        <v>1003</v>
      </c>
    </row>
    <row r="54" customFormat="false" ht="15" hidden="false" customHeight="false" outlineLevel="0" collapsed="false">
      <c r="A54" s="2" t="n">
        <v>53</v>
      </c>
      <c r="B54" s="2" t="s">
        <v>237</v>
      </c>
      <c r="C54" s="2" t="s">
        <v>762</v>
      </c>
      <c r="D54" s="2" t="s">
        <v>1004</v>
      </c>
      <c r="E54" s="2" t="s">
        <v>1005</v>
      </c>
      <c r="F54" s="2" t="n">
        <v>2200</v>
      </c>
      <c r="G54" s="2" t="n">
        <v>4</v>
      </c>
      <c r="H54" s="2" t="n">
        <v>7</v>
      </c>
      <c r="I54" s="2" t="s">
        <v>1006</v>
      </c>
    </row>
    <row r="55" customFormat="false" ht="15" hidden="false" customHeight="false" outlineLevel="0" collapsed="false">
      <c r="A55" s="3" t="n">
        <v>54</v>
      </c>
      <c r="B55" s="3" t="s">
        <v>1007</v>
      </c>
      <c r="C55" s="3" t="s">
        <v>79</v>
      </c>
      <c r="D55" s="3" t="s">
        <v>1008</v>
      </c>
      <c r="E55" s="3" t="s">
        <v>1009</v>
      </c>
      <c r="F55" s="3" t="n">
        <v>2000</v>
      </c>
      <c r="G55" s="3" t="n">
        <v>3</v>
      </c>
      <c r="H55" s="3" t="n">
        <v>4</v>
      </c>
      <c r="I55" s="3" t="s">
        <v>1010</v>
      </c>
    </row>
    <row r="56" customFormat="false" ht="15" hidden="false" customHeight="false" outlineLevel="0" collapsed="false">
      <c r="A56" s="2" t="n">
        <v>55</v>
      </c>
      <c r="B56" s="2" t="s">
        <v>1011</v>
      </c>
      <c r="C56" s="2" t="s">
        <v>44</v>
      </c>
      <c r="D56" s="2" t="s">
        <v>341</v>
      </c>
      <c r="E56" s="2" t="s">
        <v>1012</v>
      </c>
      <c r="F56" s="2" t="n">
        <v>2400</v>
      </c>
      <c r="G56" s="2" t="n">
        <v>4</v>
      </c>
      <c r="H56" s="2" t="n">
        <v>8</v>
      </c>
      <c r="I56" s="2" t="s">
        <v>1013</v>
      </c>
    </row>
    <row r="57" customFormat="false" ht="15" hidden="false" customHeight="false" outlineLevel="0" collapsed="false">
      <c r="A57" s="3" t="n">
        <v>56</v>
      </c>
      <c r="B57" s="3" t="s">
        <v>1014</v>
      </c>
      <c r="C57" s="3" t="s">
        <v>36</v>
      </c>
      <c r="D57" s="3" t="s">
        <v>1015</v>
      </c>
      <c r="E57" s="3" t="s">
        <v>1016</v>
      </c>
      <c r="F57" s="3" t="n">
        <v>2100</v>
      </c>
      <c r="G57" s="3" t="n">
        <v>3</v>
      </c>
      <c r="H57" s="3" t="n">
        <v>5</v>
      </c>
      <c r="I57" s="3" t="s">
        <v>1017</v>
      </c>
    </row>
    <row r="58" customFormat="false" ht="15" hidden="false" customHeight="false" outlineLevel="0" collapsed="false">
      <c r="A58" s="2" t="n">
        <v>57</v>
      </c>
      <c r="B58" s="2" t="s">
        <v>1018</v>
      </c>
      <c r="C58" s="2" t="s">
        <v>21</v>
      </c>
      <c r="D58" s="2" t="s">
        <v>1019</v>
      </c>
      <c r="E58" s="2" t="s">
        <v>1020</v>
      </c>
      <c r="F58" s="2" t="n">
        <v>2200</v>
      </c>
      <c r="G58" s="2" t="n">
        <v>4</v>
      </c>
      <c r="H58" s="2" t="n">
        <v>7</v>
      </c>
      <c r="I58" s="2" t="s">
        <v>1021</v>
      </c>
    </row>
    <row r="59" customFormat="false" ht="15" hidden="false" customHeight="false" outlineLevel="0" collapsed="false">
      <c r="A59" s="3" t="n">
        <v>58</v>
      </c>
      <c r="B59" s="3" t="s">
        <v>1022</v>
      </c>
      <c r="C59" s="3" t="s">
        <v>40</v>
      </c>
      <c r="D59" s="3" t="s">
        <v>1023</v>
      </c>
      <c r="E59" s="3" t="s">
        <v>1024</v>
      </c>
      <c r="F59" s="3" t="n">
        <v>2200</v>
      </c>
      <c r="G59" s="3" t="n">
        <v>4</v>
      </c>
      <c r="H59" s="3" t="n">
        <v>6</v>
      </c>
      <c r="I59" s="3" t="s">
        <v>1025</v>
      </c>
    </row>
    <row r="60" customFormat="false" ht="15" hidden="false" customHeight="false" outlineLevel="0" collapsed="false">
      <c r="A60" s="2" t="n">
        <v>59</v>
      </c>
      <c r="B60" s="2" t="s">
        <v>1026</v>
      </c>
      <c r="C60" s="2" t="s">
        <v>90</v>
      </c>
      <c r="D60" s="2" t="s">
        <v>1027</v>
      </c>
      <c r="E60" s="2" t="s">
        <v>1028</v>
      </c>
      <c r="F60" s="2" t="n">
        <v>2100</v>
      </c>
      <c r="G60" s="2" t="n">
        <v>4</v>
      </c>
      <c r="H60" s="2" t="n">
        <v>6</v>
      </c>
      <c r="I60" s="2" t="s">
        <v>1029</v>
      </c>
    </row>
    <row r="61" customFormat="false" ht="15" hidden="false" customHeight="false" outlineLevel="0" collapsed="false">
      <c r="A61" s="3" t="n">
        <v>60</v>
      </c>
      <c r="B61" s="3" t="s">
        <v>1030</v>
      </c>
      <c r="C61" s="3" t="s">
        <v>79</v>
      </c>
      <c r="D61" s="3" t="s">
        <v>1031</v>
      </c>
      <c r="E61" s="3" t="s">
        <v>1032</v>
      </c>
      <c r="F61" s="3" t="n">
        <v>2000</v>
      </c>
      <c r="G61" s="3" t="n">
        <v>3</v>
      </c>
      <c r="H61" s="3" t="n">
        <v>4</v>
      </c>
      <c r="I61" s="3" t="s">
        <v>605</v>
      </c>
    </row>
    <row r="62" customFormat="false" ht="15" hidden="false" customHeight="false" outlineLevel="0" collapsed="false">
      <c r="A62" s="2" t="n">
        <v>61</v>
      </c>
      <c r="B62" s="2" t="s">
        <v>1028</v>
      </c>
      <c r="C62" s="2" t="s">
        <v>79</v>
      </c>
      <c r="D62" s="2" t="s">
        <v>1033</v>
      </c>
      <c r="E62" s="2" t="s">
        <v>915</v>
      </c>
      <c r="F62" s="2" t="n">
        <v>2100</v>
      </c>
      <c r="G62" s="2" t="n">
        <v>3</v>
      </c>
      <c r="H62" s="2" t="n">
        <v>5</v>
      </c>
      <c r="I62" s="2" t="s">
        <v>1034</v>
      </c>
    </row>
    <row r="63" customFormat="false" ht="15" hidden="false" customHeight="false" outlineLevel="0" collapsed="false">
      <c r="A63" s="3" t="n">
        <v>62</v>
      </c>
      <c r="B63" s="3" t="s">
        <v>1035</v>
      </c>
      <c r="C63" s="3" t="s">
        <v>44</v>
      </c>
      <c r="D63" s="3" t="s">
        <v>1036</v>
      </c>
      <c r="E63" s="3" t="s">
        <v>1037</v>
      </c>
      <c r="F63" s="3" t="n">
        <v>2400</v>
      </c>
      <c r="G63" s="3" t="n">
        <v>4</v>
      </c>
      <c r="H63" s="3" t="n">
        <v>8</v>
      </c>
      <c r="I63" s="3" t="s">
        <v>1038</v>
      </c>
    </row>
    <row r="64" customFormat="false" ht="15" hidden="false" customHeight="false" outlineLevel="0" collapsed="false">
      <c r="A64" s="2" t="n">
        <v>63</v>
      </c>
      <c r="B64" s="2" t="s">
        <v>1039</v>
      </c>
      <c r="C64" s="2" t="s">
        <v>40</v>
      </c>
      <c r="D64" s="2" t="s">
        <v>1040</v>
      </c>
      <c r="E64" s="2" t="s">
        <v>1041</v>
      </c>
      <c r="F64" s="2" t="n">
        <v>2300</v>
      </c>
      <c r="G64" s="2" t="n">
        <v>4</v>
      </c>
      <c r="H64" s="2" t="n">
        <v>7</v>
      </c>
      <c r="I64" s="2" t="s">
        <v>1042</v>
      </c>
    </row>
    <row r="65" customFormat="false" ht="15" hidden="false" customHeight="false" outlineLevel="0" collapsed="false">
      <c r="A65" s="3" t="n">
        <v>64</v>
      </c>
      <c r="B65" s="3" t="s">
        <v>1043</v>
      </c>
      <c r="C65" s="3" t="s">
        <v>36</v>
      </c>
      <c r="D65" s="3" t="s">
        <v>1044</v>
      </c>
      <c r="E65" s="3" t="s">
        <v>1045</v>
      </c>
      <c r="F65" s="3" t="n">
        <v>2200</v>
      </c>
      <c r="G65" s="3" t="n">
        <v>4</v>
      </c>
      <c r="H65" s="3" t="n">
        <v>6</v>
      </c>
      <c r="I65" s="3" t="s">
        <v>1046</v>
      </c>
    </row>
    <row r="66" customFormat="false" ht="15" hidden="false" customHeight="false" outlineLevel="0" collapsed="false">
      <c r="A66" s="2" t="n">
        <v>65</v>
      </c>
      <c r="B66" s="2" t="s">
        <v>135</v>
      </c>
      <c r="C66" s="2" t="s">
        <v>355</v>
      </c>
      <c r="D66" s="2" t="s">
        <v>883</v>
      </c>
      <c r="E66" s="2" t="s">
        <v>1047</v>
      </c>
      <c r="F66" s="2" t="n">
        <v>2500</v>
      </c>
      <c r="G66" s="2" t="n">
        <v>4</v>
      </c>
      <c r="H66" s="2" t="n">
        <v>8</v>
      </c>
      <c r="I66" s="2" t="s">
        <v>1048</v>
      </c>
    </row>
    <row r="67" customFormat="false" ht="15" hidden="false" customHeight="false" outlineLevel="0" collapsed="false">
      <c r="A67" s="3" t="n">
        <v>66</v>
      </c>
      <c r="B67" s="3" t="s">
        <v>181</v>
      </c>
      <c r="C67" s="3" t="s">
        <v>57</v>
      </c>
      <c r="D67" s="3" t="s">
        <v>1049</v>
      </c>
      <c r="E67" s="3" t="s">
        <v>682</v>
      </c>
      <c r="F67" s="3" t="n">
        <v>2300</v>
      </c>
      <c r="G67" s="3" t="n">
        <v>4</v>
      </c>
      <c r="H67" s="3" t="n">
        <v>8</v>
      </c>
      <c r="I67" s="3" t="s">
        <v>1050</v>
      </c>
    </row>
    <row r="68" customFormat="false" ht="15" hidden="false" customHeight="false" outlineLevel="0" collapsed="false">
      <c r="A68" s="2" t="n">
        <v>67</v>
      </c>
      <c r="B68" s="2" t="s">
        <v>374</v>
      </c>
      <c r="C68" s="2" t="s">
        <v>90</v>
      </c>
      <c r="D68" s="2" t="s">
        <v>739</v>
      </c>
      <c r="E68" s="2" t="s">
        <v>1051</v>
      </c>
      <c r="F68" s="2" t="n">
        <v>2300</v>
      </c>
      <c r="G68" s="2" t="n">
        <v>4</v>
      </c>
      <c r="H68" s="2" t="n">
        <v>8</v>
      </c>
      <c r="I68" s="2" t="s">
        <v>741</v>
      </c>
    </row>
    <row r="69" customFormat="false" ht="15" hidden="false" customHeight="false" outlineLevel="0" collapsed="false">
      <c r="A69" s="3" t="n">
        <v>68</v>
      </c>
      <c r="B69" s="3" t="s">
        <v>227</v>
      </c>
      <c r="C69" s="3" t="s">
        <v>32</v>
      </c>
      <c r="D69" s="3" t="s">
        <v>1052</v>
      </c>
      <c r="E69" s="3" t="s">
        <v>1053</v>
      </c>
      <c r="F69" s="3" t="n">
        <v>2200</v>
      </c>
      <c r="G69" s="3" t="n">
        <v>4</v>
      </c>
      <c r="H69" s="3" t="n">
        <v>7</v>
      </c>
      <c r="I69" s="3" t="s">
        <v>1054</v>
      </c>
    </row>
    <row r="70" customFormat="false" ht="15" hidden="false" customHeight="false" outlineLevel="0" collapsed="false">
      <c r="A70" s="2" t="n">
        <v>69</v>
      </c>
      <c r="B70" s="2" t="s">
        <v>1055</v>
      </c>
      <c r="C70" s="2" t="s">
        <v>32</v>
      </c>
      <c r="D70" s="2" t="s">
        <v>1056</v>
      </c>
      <c r="E70" s="2" t="s">
        <v>1057</v>
      </c>
      <c r="F70" s="2" t="n">
        <v>2200</v>
      </c>
      <c r="G70" s="2" t="n">
        <v>4</v>
      </c>
      <c r="H70" s="2" t="n">
        <v>7</v>
      </c>
      <c r="I70" s="2" t="s">
        <v>749</v>
      </c>
    </row>
    <row r="71" customFormat="false" ht="15" hidden="false" customHeight="false" outlineLevel="0" collapsed="false">
      <c r="A71" s="3" t="n">
        <v>70</v>
      </c>
      <c r="B71" s="3" t="s">
        <v>1058</v>
      </c>
      <c r="C71" s="3" t="s">
        <v>44</v>
      </c>
      <c r="D71" s="3" t="s">
        <v>1059</v>
      </c>
      <c r="E71" s="3" t="s">
        <v>1060</v>
      </c>
      <c r="F71" s="3" t="n">
        <v>2400</v>
      </c>
      <c r="G71" s="3" t="n">
        <v>4</v>
      </c>
      <c r="H71" s="3" t="n">
        <v>8</v>
      </c>
      <c r="I71" s="3" t="s">
        <v>700</v>
      </c>
    </row>
    <row r="72" customFormat="false" ht="15" hidden="false" customHeight="false" outlineLevel="0" collapsed="false">
      <c r="A72" s="2" t="n">
        <v>71</v>
      </c>
      <c r="B72" s="2" t="s">
        <v>754</v>
      </c>
      <c r="C72" s="2" t="s">
        <v>40</v>
      </c>
      <c r="D72" s="2" t="s">
        <v>755</v>
      </c>
      <c r="E72" s="2" t="s">
        <v>756</v>
      </c>
      <c r="F72" s="2" t="n">
        <v>2300</v>
      </c>
      <c r="G72" s="2" t="n">
        <v>4</v>
      </c>
      <c r="H72" s="2" t="n">
        <v>8</v>
      </c>
      <c r="I72" s="2" t="s">
        <v>1061</v>
      </c>
    </row>
    <row r="73" customFormat="false" ht="15" hidden="false" customHeight="false" outlineLevel="0" collapsed="false">
      <c r="A73" s="3" t="n">
        <v>72</v>
      </c>
      <c r="B73" s="3" t="s">
        <v>757</v>
      </c>
      <c r="C73" s="3" t="s">
        <v>57</v>
      </c>
      <c r="D73" s="3" t="s">
        <v>1062</v>
      </c>
      <c r="E73" s="3" t="s">
        <v>577</v>
      </c>
      <c r="F73" s="3" t="n">
        <v>2300</v>
      </c>
      <c r="G73" s="3" t="n">
        <v>4</v>
      </c>
      <c r="H73" s="3" t="n">
        <v>7</v>
      </c>
      <c r="I73" s="3" t="s">
        <v>1063</v>
      </c>
    </row>
    <row r="74" customFormat="false" ht="23.85" hidden="false" customHeight="false" outlineLevel="0" collapsed="false">
      <c r="A74" s="2" t="n">
        <v>73</v>
      </c>
      <c r="B74" s="2" t="s">
        <v>237</v>
      </c>
      <c r="C74" s="2" t="s">
        <v>762</v>
      </c>
      <c r="D74" s="2" t="s">
        <v>1064</v>
      </c>
      <c r="E74" s="2" t="s">
        <v>1065</v>
      </c>
      <c r="F74" s="2" t="n">
        <v>2200</v>
      </c>
      <c r="G74" s="2" t="n">
        <v>4</v>
      </c>
      <c r="H74" s="2" t="n">
        <v>7</v>
      </c>
      <c r="I74" s="2" t="s">
        <v>1066</v>
      </c>
    </row>
    <row r="75" customFormat="false" ht="15" hidden="false" customHeight="false" outlineLevel="0" collapsed="false">
      <c r="A75" s="3" t="n">
        <v>74</v>
      </c>
      <c r="B75" s="3" t="s">
        <v>1067</v>
      </c>
      <c r="C75" s="3" t="s">
        <v>762</v>
      </c>
      <c r="D75" s="3" t="s">
        <v>1068</v>
      </c>
      <c r="E75" s="3" t="s">
        <v>976</v>
      </c>
      <c r="F75" s="3" t="n">
        <v>2100</v>
      </c>
      <c r="G75" s="3" t="n">
        <v>3</v>
      </c>
      <c r="H75" s="3" t="n">
        <v>5</v>
      </c>
      <c r="I75" s="3" t="s">
        <v>975</v>
      </c>
    </row>
    <row r="76" customFormat="false" ht="15" hidden="false" customHeight="false" outlineLevel="0" collapsed="false">
      <c r="A76" s="2" t="n">
        <v>75</v>
      </c>
      <c r="B76" s="2" t="s">
        <v>1069</v>
      </c>
      <c r="C76" s="2" t="s">
        <v>83</v>
      </c>
      <c r="D76" s="2" t="s">
        <v>1070</v>
      </c>
      <c r="E76" s="2" t="s">
        <v>1071</v>
      </c>
      <c r="F76" s="2" t="n">
        <v>2000</v>
      </c>
      <c r="G76" s="2" t="n">
        <v>3</v>
      </c>
      <c r="H76" s="2" t="n">
        <v>5</v>
      </c>
      <c r="I76" s="2" t="s">
        <v>1072</v>
      </c>
    </row>
    <row r="77" customFormat="false" ht="15" hidden="false" customHeight="false" outlineLevel="0" collapsed="false">
      <c r="A77" s="3" t="n">
        <v>76</v>
      </c>
      <c r="B77" s="3" t="s">
        <v>770</v>
      </c>
      <c r="C77" s="3" t="s">
        <v>145</v>
      </c>
      <c r="D77" s="3" t="s">
        <v>247</v>
      </c>
      <c r="E77" s="3" t="s">
        <v>1073</v>
      </c>
      <c r="F77" s="3" t="n">
        <v>2100</v>
      </c>
      <c r="G77" s="3" t="n">
        <v>4</v>
      </c>
      <c r="H77" s="3" t="n">
        <v>6</v>
      </c>
      <c r="I77" s="3" t="s">
        <v>773</v>
      </c>
    </row>
    <row r="78" customFormat="false" ht="15" hidden="false" customHeight="false" outlineLevel="0" collapsed="false">
      <c r="A78" s="2" t="n">
        <v>77</v>
      </c>
      <c r="B78" s="2" t="s">
        <v>249</v>
      </c>
      <c r="C78" s="2" t="s">
        <v>145</v>
      </c>
      <c r="D78" s="2" t="s">
        <v>182</v>
      </c>
      <c r="E78" s="2" t="s">
        <v>774</v>
      </c>
      <c r="F78" s="2" t="n">
        <v>2100</v>
      </c>
      <c r="G78" s="2" t="n">
        <v>4</v>
      </c>
      <c r="H78" s="2" t="n">
        <v>5</v>
      </c>
      <c r="I78" s="2" t="s">
        <v>775</v>
      </c>
    </row>
    <row r="79" customFormat="false" ht="15" hidden="false" customHeight="false" outlineLevel="0" collapsed="false">
      <c r="A79" s="3" t="n">
        <v>78</v>
      </c>
      <c r="B79" s="3" t="s">
        <v>1074</v>
      </c>
      <c r="C79" s="3" t="s">
        <v>163</v>
      </c>
      <c r="D79" s="3" t="s">
        <v>1075</v>
      </c>
      <c r="E79" s="3" t="s">
        <v>1076</v>
      </c>
      <c r="F79" s="3" t="n">
        <v>2000</v>
      </c>
      <c r="G79" s="3" t="n">
        <v>3</v>
      </c>
      <c r="H79" s="3" t="n">
        <v>5</v>
      </c>
      <c r="I79" s="3" t="s">
        <v>984</v>
      </c>
    </row>
    <row r="80" customFormat="false" ht="15" hidden="false" customHeight="false" outlineLevel="0" collapsed="false">
      <c r="A80" s="2" t="n">
        <v>79</v>
      </c>
      <c r="B80" s="2" t="s">
        <v>1077</v>
      </c>
      <c r="C80" s="2" t="s">
        <v>44</v>
      </c>
      <c r="D80" s="2" t="s">
        <v>1078</v>
      </c>
      <c r="E80" s="2" t="s">
        <v>1079</v>
      </c>
      <c r="F80" s="2" t="n">
        <v>2400</v>
      </c>
      <c r="G80" s="2" t="n">
        <v>4</v>
      </c>
      <c r="H80" s="2" t="n">
        <v>8</v>
      </c>
      <c r="I80" s="2" t="s">
        <v>1080</v>
      </c>
    </row>
    <row r="81" customFormat="false" ht="15" hidden="false" customHeight="false" outlineLevel="0" collapsed="false">
      <c r="A81" s="3" t="n">
        <v>80</v>
      </c>
      <c r="B81" s="3" t="s">
        <v>1081</v>
      </c>
      <c r="C81" s="3" t="s">
        <v>36</v>
      </c>
      <c r="D81" s="3" t="s">
        <v>1082</v>
      </c>
      <c r="E81" s="3" t="s">
        <v>1083</v>
      </c>
      <c r="F81" s="3" t="n">
        <v>2200</v>
      </c>
      <c r="G81" s="3" t="n">
        <v>4</v>
      </c>
      <c r="H81" s="3" t="n">
        <v>6</v>
      </c>
      <c r="I81" s="3" t="s">
        <v>785</v>
      </c>
    </row>
    <row r="82" customFormat="false" ht="15" hidden="false" customHeight="false" outlineLevel="0" collapsed="false">
      <c r="A82" s="2" t="n">
        <v>81</v>
      </c>
      <c r="B82" s="2" t="s">
        <v>78</v>
      </c>
      <c r="C82" s="2" t="s">
        <v>79</v>
      </c>
      <c r="D82" s="2" t="s">
        <v>787</v>
      </c>
      <c r="E82" s="2" t="s">
        <v>788</v>
      </c>
      <c r="F82" s="2" t="n">
        <v>2000</v>
      </c>
      <c r="G82" s="2" t="n">
        <v>3</v>
      </c>
      <c r="H82" s="2" t="n">
        <v>4</v>
      </c>
      <c r="I82" s="2" t="s">
        <v>789</v>
      </c>
    </row>
    <row r="83" customFormat="false" ht="15" hidden="false" customHeight="false" outlineLevel="0" collapsed="false">
      <c r="A83" s="3" t="n">
        <v>82</v>
      </c>
      <c r="B83" s="3" t="s">
        <v>1084</v>
      </c>
      <c r="C83" s="3" t="s">
        <v>145</v>
      </c>
      <c r="D83" s="3" t="s">
        <v>1085</v>
      </c>
      <c r="E83" s="3" t="s">
        <v>792</v>
      </c>
      <c r="F83" s="3" t="n">
        <v>2300</v>
      </c>
      <c r="G83" s="3" t="n">
        <v>4</v>
      </c>
      <c r="H83" s="3" t="n">
        <v>8</v>
      </c>
      <c r="I83" s="3" t="s">
        <v>793</v>
      </c>
    </row>
    <row r="84" customFormat="false" ht="15" hidden="false" customHeight="false" outlineLevel="0" collapsed="false">
      <c r="A84" s="2" t="n">
        <v>83</v>
      </c>
      <c r="B84" s="2" t="s">
        <v>794</v>
      </c>
      <c r="C84" s="2" t="s">
        <v>90</v>
      </c>
      <c r="D84" s="2" t="s">
        <v>795</v>
      </c>
      <c r="E84" s="2" t="s">
        <v>796</v>
      </c>
      <c r="F84" s="2" t="n">
        <v>2300</v>
      </c>
      <c r="G84" s="2" t="n">
        <v>4</v>
      </c>
      <c r="H84" s="2" t="n">
        <v>8</v>
      </c>
      <c r="I84" s="2" t="s">
        <v>797</v>
      </c>
    </row>
    <row r="85" customFormat="false" ht="15" hidden="false" customHeight="false" outlineLevel="0" collapsed="false">
      <c r="A85" s="3" t="n">
        <v>84</v>
      </c>
      <c r="B85" s="3" t="s">
        <v>798</v>
      </c>
      <c r="C85" s="3" t="s">
        <v>32</v>
      </c>
      <c r="D85" s="3" t="s">
        <v>267</v>
      </c>
      <c r="E85" s="3" t="s">
        <v>799</v>
      </c>
      <c r="F85" s="3" t="n">
        <v>2300</v>
      </c>
      <c r="G85" s="3" t="n">
        <v>4</v>
      </c>
      <c r="H85" s="3" t="n">
        <v>8</v>
      </c>
      <c r="I85" s="3" t="s">
        <v>800</v>
      </c>
    </row>
    <row r="86" customFormat="false" ht="15" hidden="false" customHeight="false" outlineLevel="0" collapsed="false">
      <c r="A86" s="2" t="n">
        <v>85</v>
      </c>
      <c r="B86" s="2" t="s">
        <v>1086</v>
      </c>
      <c r="C86" s="2" t="s">
        <v>44</v>
      </c>
      <c r="D86" s="2" t="s">
        <v>802</v>
      </c>
      <c r="E86" s="2" t="s">
        <v>883</v>
      </c>
      <c r="F86" s="2" t="n">
        <v>2400</v>
      </c>
      <c r="G86" s="2" t="n">
        <v>4</v>
      </c>
      <c r="H86" s="2" t="n">
        <v>8</v>
      </c>
      <c r="I86" s="2" t="s">
        <v>1087</v>
      </c>
    </row>
    <row r="87" customFormat="false" ht="15" hidden="false" customHeight="false" outlineLevel="0" collapsed="false">
      <c r="A87" s="3" t="n">
        <v>86</v>
      </c>
      <c r="B87" s="3" t="s">
        <v>1088</v>
      </c>
      <c r="C87" s="3" t="s">
        <v>36</v>
      </c>
      <c r="D87" s="3" t="s">
        <v>1089</v>
      </c>
      <c r="E87" s="3" t="s">
        <v>1090</v>
      </c>
      <c r="F87" s="3" t="n">
        <v>2200</v>
      </c>
      <c r="G87" s="3" t="n">
        <v>4</v>
      </c>
      <c r="H87" s="3" t="n">
        <v>6</v>
      </c>
      <c r="I87" s="3" t="s">
        <v>807</v>
      </c>
    </row>
    <row r="88" customFormat="false" ht="15" hidden="false" customHeight="false" outlineLevel="0" collapsed="false">
      <c r="A88" s="2" t="n">
        <v>87</v>
      </c>
      <c r="B88" s="2" t="s">
        <v>1091</v>
      </c>
      <c r="C88" s="2" t="s">
        <v>107</v>
      </c>
      <c r="D88" s="2" t="s">
        <v>1092</v>
      </c>
      <c r="E88" s="2" t="s">
        <v>1093</v>
      </c>
      <c r="F88" s="2" t="n">
        <v>2300</v>
      </c>
      <c r="G88" s="2" t="n">
        <v>4</v>
      </c>
      <c r="H88" s="2" t="n">
        <v>8</v>
      </c>
      <c r="I88" s="2" t="s">
        <v>1094</v>
      </c>
    </row>
    <row r="89" customFormat="false" ht="15" hidden="false" customHeight="false" outlineLevel="0" collapsed="false">
      <c r="A89" s="3" t="n">
        <v>88</v>
      </c>
      <c r="B89" s="3" t="s">
        <v>811</v>
      </c>
      <c r="C89" s="3" t="s">
        <v>762</v>
      </c>
      <c r="D89" s="3" t="s">
        <v>812</v>
      </c>
      <c r="E89" s="3" t="s">
        <v>813</v>
      </c>
      <c r="F89" s="3" t="n">
        <v>2100</v>
      </c>
      <c r="G89" s="3" t="n">
        <v>3</v>
      </c>
      <c r="H89" s="3" t="n">
        <v>6</v>
      </c>
      <c r="I89" s="3" t="s">
        <v>814</v>
      </c>
    </row>
    <row r="90" customFormat="false" ht="15" hidden="false" customHeight="false" outlineLevel="0" collapsed="false">
      <c r="A90" s="2" t="n">
        <v>89</v>
      </c>
      <c r="B90" s="2" t="s">
        <v>280</v>
      </c>
      <c r="C90" s="2" t="s">
        <v>79</v>
      </c>
      <c r="D90" s="2" t="s">
        <v>787</v>
      </c>
      <c r="E90" s="2" t="s">
        <v>729</v>
      </c>
      <c r="F90" s="2" t="n">
        <v>2000</v>
      </c>
      <c r="G90" s="2" t="n">
        <v>3</v>
      </c>
      <c r="H90" s="2" t="n">
        <v>4</v>
      </c>
      <c r="I90" s="2" t="s">
        <v>788</v>
      </c>
    </row>
    <row r="91" customFormat="false" ht="15" hidden="false" customHeight="false" outlineLevel="0" collapsed="false">
      <c r="A91" s="3" t="n">
        <v>90</v>
      </c>
      <c r="B91" s="3" t="s">
        <v>1095</v>
      </c>
      <c r="C91" s="3" t="s">
        <v>816</v>
      </c>
      <c r="D91" s="3" t="s">
        <v>1096</v>
      </c>
      <c r="E91" s="3" t="s">
        <v>818</v>
      </c>
      <c r="F91" s="3" t="n">
        <v>2000</v>
      </c>
      <c r="G91" s="3" t="n">
        <v>4</v>
      </c>
      <c r="H91" s="3" t="n">
        <v>4</v>
      </c>
      <c r="I91" s="3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6" min="4" style="0" width="22"/>
    <col collapsed="false" customWidth="true" hidden="false" outlineLevel="0" max="8" min="7" style="0" width="25"/>
  </cols>
  <sheetData>
    <row r="1" customFormat="false" ht="26.85" hidden="false" customHeight="false" outlineLevel="0" collapsed="false">
      <c r="A1" s="1" t="s">
        <v>1097</v>
      </c>
      <c r="B1" s="1" t="s">
        <v>1098</v>
      </c>
      <c r="C1" s="1" t="s">
        <v>1099</v>
      </c>
      <c r="D1" s="1" t="s">
        <v>1100</v>
      </c>
      <c r="E1" s="1" t="s">
        <v>1101</v>
      </c>
      <c r="F1" s="1" t="s">
        <v>1102</v>
      </c>
      <c r="G1" s="1" t="s">
        <v>1103</v>
      </c>
      <c r="H1" s="1" t="s">
        <v>1104</v>
      </c>
    </row>
    <row r="2" customFormat="false" ht="15" hidden="false" customHeight="false" outlineLevel="0" collapsed="false">
      <c r="A2" s="2" t="s">
        <v>5</v>
      </c>
      <c r="B2" s="2" t="n">
        <v>4</v>
      </c>
      <c r="C2" s="2" t="n">
        <f aca="false">B2*7</f>
        <v>28</v>
      </c>
      <c r="D2" s="2" t="n">
        <f aca="false">B2*30</f>
        <v>120</v>
      </c>
      <c r="E2" s="2" t="n">
        <f aca="false">D2*4</f>
        <v>480</v>
      </c>
      <c r="F2" s="2" t="n">
        <f aca="false">D2*8</f>
        <v>960</v>
      </c>
      <c r="G2" s="2" t="s">
        <v>1105</v>
      </c>
      <c r="H2" s="2" t="s">
        <v>1106</v>
      </c>
    </row>
    <row r="3" customFormat="false" ht="15" hidden="false" customHeight="false" outlineLevel="0" collapsed="false">
      <c r="A3" s="3" t="s">
        <v>1107</v>
      </c>
      <c r="B3" s="3" t="n">
        <v>2200</v>
      </c>
      <c r="C3" s="3" t="n">
        <f aca="false">B3*7</f>
        <v>15400</v>
      </c>
      <c r="D3" s="3" t="n">
        <f aca="false">B3*30</f>
        <v>66000</v>
      </c>
      <c r="E3" s="3" t="n">
        <f aca="false">D3*4</f>
        <v>264000</v>
      </c>
      <c r="F3" s="3" t="n">
        <f aca="false">D3*8</f>
        <v>528000</v>
      </c>
      <c r="G3" s="3" t="s">
        <v>1108</v>
      </c>
      <c r="H3" s="3" t="s">
        <v>1109</v>
      </c>
    </row>
    <row r="4" customFormat="false" ht="15" hidden="false" customHeight="false" outlineLevel="0" collapsed="false">
      <c r="A4" s="2" t="s">
        <v>1110</v>
      </c>
      <c r="B4" s="2" t="n">
        <v>15</v>
      </c>
      <c r="C4" s="2" t="n">
        <f aca="false">B4*7</f>
        <v>105</v>
      </c>
      <c r="D4" s="2" t="n">
        <f aca="false">B4*30</f>
        <v>450</v>
      </c>
      <c r="E4" s="2" t="n">
        <f aca="false">D4*4</f>
        <v>1800</v>
      </c>
      <c r="F4" s="2" t="n">
        <f aca="false">D4*8</f>
        <v>3600</v>
      </c>
      <c r="G4" s="2" t="s">
        <v>1111</v>
      </c>
      <c r="H4" s="2" t="s">
        <v>1112</v>
      </c>
    </row>
    <row r="5" customFormat="false" ht="15" hidden="false" customHeight="false" outlineLevel="0" collapsed="false">
      <c r="A5" s="3" t="s">
        <v>1113</v>
      </c>
      <c r="B5" s="3" t="n">
        <v>0.5</v>
      </c>
      <c r="C5" s="3" t="n">
        <f aca="false">B5*7</f>
        <v>3.5</v>
      </c>
      <c r="D5" s="3" t="n">
        <f aca="false">B5*30</f>
        <v>15</v>
      </c>
      <c r="E5" s="3" t="n">
        <f aca="false">D5*4</f>
        <v>60</v>
      </c>
      <c r="F5" s="3" t="n">
        <f aca="false">D5*8</f>
        <v>120</v>
      </c>
      <c r="G5" s="3" t="s">
        <v>1114</v>
      </c>
      <c r="H5" s="3" t="s">
        <v>1115</v>
      </c>
    </row>
    <row r="6" customFormat="false" ht="15" hidden="false" customHeight="false" outlineLevel="0" collapsed="false">
      <c r="A6" s="2" t="s">
        <v>1116</v>
      </c>
      <c r="B6" s="2" t="n">
        <v>10</v>
      </c>
      <c r="C6" s="2" t="n">
        <f aca="false">B6*7</f>
        <v>70</v>
      </c>
      <c r="D6" s="2" t="n">
        <f aca="false">B6*30</f>
        <v>300</v>
      </c>
      <c r="E6" s="2" t="n">
        <f aca="false">D6*4</f>
        <v>1200</v>
      </c>
      <c r="F6" s="2" t="n">
        <f aca="false">D6*8</f>
        <v>2400</v>
      </c>
      <c r="G6" s="2" t="s">
        <v>1117</v>
      </c>
      <c r="H6" s="2" t="s">
        <v>1118</v>
      </c>
    </row>
    <row r="7" customFormat="false" ht="15" hidden="false" customHeight="false" outlineLevel="0" collapsed="false">
      <c r="A7" s="3" t="s">
        <v>1119</v>
      </c>
      <c r="B7" s="3" t="n">
        <v>30</v>
      </c>
      <c r="C7" s="3" t="n">
        <f aca="false">B7*7</f>
        <v>210</v>
      </c>
      <c r="D7" s="3" t="n">
        <f aca="false">B7*30</f>
        <v>900</v>
      </c>
      <c r="E7" s="3" t="n">
        <f aca="false">D7*4</f>
        <v>3600</v>
      </c>
      <c r="F7" s="3" t="n">
        <f aca="false">D7*8</f>
        <v>7200</v>
      </c>
      <c r="G7" s="3" t="s">
        <v>1120</v>
      </c>
      <c r="H7" s="3" t="s">
        <v>1121</v>
      </c>
    </row>
    <row r="8" customFormat="false" ht="15" hidden="false" customHeight="false" outlineLevel="0" collapsed="false">
      <c r="A8" s="2" t="s">
        <v>1122</v>
      </c>
      <c r="B8" s="2" t="n">
        <v>50</v>
      </c>
      <c r="C8" s="2" t="n">
        <f aca="false">B8*7</f>
        <v>350</v>
      </c>
      <c r="D8" s="2" t="n">
        <f aca="false">B8*30</f>
        <v>1500</v>
      </c>
      <c r="E8" s="2" t="n">
        <f aca="false">D8*4</f>
        <v>6000</v>
      </c>
      <c r="F8" s="2" t="n">
        <f aca="false">D8*8</f>
        <v>12000</v>
      </c>
      <c r="G8" s="2" t="s">
        <v>1123</v>
      </c>
      <c r="H8" s="2" t="s">
        <v>1124</v>
      </c>
    </row>
    <row r="9" customFormat="false" ht="15" hidden="false" customHeight="false" outlineLevel="0" collapsed="false">
      <c r="A9" s="3" t="s">
        <v>1125</v>
      </c>
      <c r="B9" s="3" t="n">
        <v>250</v>
      </c>
      <c r="C9" s="3" t="n">
        <f aca="false">B9*7</f>
        <v>1750</v>
      </c>
      <c r="D9" s="3" t="n">
        <f aca="false">B9*30</f>
        <v>7500</v>
      </c>
      <c r="E9" s="3" t="n">
        <f aca="false">D9*4</f>
        <v>30000</v>
      </c>
      <c r="F9" s="3" t="n">
        <f aca="false">D9*8</f>
        <v>60000</v>
      </c>
      <c r="G9" s="3" t="s">
        <v>1126</v>
      </c>
      <c r="H9" s="3" t="s">
        <v>1127</v>
      </c>
    </row>
    <row r="10" customFormat="false" ht="15" hidden="false" customHeight="false" outlineLevel="0" collapsed="false">
      <c r="A10" s="2" t="s">
        <v>1128</v>
      </c>
      <c r="B10" s="2" t="n">
        <v>5</v>
      </c>
      <c r="C10" s="2" t="n">
        <f aca="false">B10*7</f>
        <v>35</v>
      </c>
      <c r="D10" s="2" t="n">
        <f aca="false">B10*30</f>
        <v>150</v>
      </c>
      <c r="E10" s="2" t="n">
        <f aca="false">D10*4</f>
        <v>600</v>
      </c>
      <c r="F10" s="2" t="n">
        <f aca="false">D10*8</f>
        <v>1200</v>
      </c>
      <c r="G10" s="2" t="s">
        <v>1129</v>
      </c>
      <c r="H10" s="2" t="s">
        <v>1130</v>
      </c>
    </row>
    <row r="11" customFormat="false" ht="15" hidden="false" customHeight="false" outlineLevel="0" collapsed="false">
      <c r="A11" s="3" t="s">
        <v>1131</v>
      </c>
      <c r="B11" s="3" t="n">
        <v>2</v>
      </c>
      <c r="C11" s="3" t="n">
        <f aca="false">B11*7</f>
        <v>14</v>
      </c>
      <c r="D11" s="3" t="n">
        <f aca="false">B11*30</f>
        <v>60</v>
      </c>
      <c r="E11" s="3" t="n">
        <f aca="false">D11*4</f>
        <v>240</v>
      </c>
      <c r="F11" s="3" t="n">
        <f aca="false">D11*8</f>
        <v>480</v>
      </c>
      <c r="G11" s="3" t="s">
        <v>1132</v>
      </c>
      <c r="H11" s="3" t="s">
        <v>1133</v>
      </c>
    </row>
    <row r="12" customFormat="false" ht="15" hidden="false" customHeight="false" outlineLevel="0" collapsed="false">
      <c r="A12" s="2" t="s">
        <v>1134</v>
      </c>
      <c r="B12" s="2" t="n">
        <v>5</v>
      </c>
      <c r="C12" s="2" t="n">
        <f aca="false">B12*7</f>
        <v>35</v>
      </c>
      <c r="D12" s="2" t="n">
        <f aca="false">B12*30</f>
        <v>150</v>
      </c>
      <c r="E12" s="2" t="n">
        <f aca="false">D12*4</f>
        <v>600</v>
      </c>
      <c r="F12" s="2" t="n">
        <f aca="false">D12*8</f>
        <v>1200</v>
      </c>
      <c r="G12" s="2" t="s">
        <v>833</v>
      </c>
      <c r="H12" s="2" t="s">
        <v>1135</v>
      </c>
    </row>
    <row r="13" customFormat="false" ht="15" hidden="false" customHeight="false" outlineLevel="0" collapsed="false">
      <c r="A13" s="3" t="s">
        <v>1136</v>
      </c>
      <c r="B13" s="3" t="n">
        <v>0.1</v>
      </c>
      <c r="C13" s="3" t="n">
        <f aca="false">B13*7</f>
        <v>0.7</v>
      </c>
      <c r="D13" s="3" t="n">
        <f aca="false">B13*30</f>
        <v>3</v>
      </c>
      <c r="E13" s="3" t="n">
        <f aca="false">D13*4</f>
        <v>12</v>
      </c>
      <c r="F13" s="3" t="n">
        <f aca="false">D13*8</f>
        <v>24</v>
      </c>
      <c r="G13" s="3" t="s">
        <v>1137</v>
      </c>
      <c r="H13" s="3" t="s">
        <v>1138</v>
      </c>
    </row>
    <row r="14" customFormat="false" ht="15" hidden="false" customHeight="false" outlineLevel="0" collapsed="false">
      <c r="A14" s="2" t="s">
        <v>1139</v>
      </c>
      <c r="B14" s="2" t="n">
        <v>1</v>
      </c>
      <c r="C14" s="2" t="n">
        <f aca="false">B14*7</f>
        <v>7</v>
      </c>
      <c r="D14" s="2" t="n">
        <f aca="false">B14*30</f>
        <v>30</v>
      </c>
      <c r="E14" s="2" t="n">
        <f aca="false">D14*4</f>
        <v>120</v>
      </c>
      <c r="F14" s="2" t="n">
        <f aca="false">D14*8</f>
        <v>240</v>
      </c>
      <c r="G14" s="2" t="s">
        <v>1140</v>
      </c>
      <c r="H14" s="2" t="s">
        <v>1141</v>
      </c>
    </row>
    <row r="15" customFormat="false" ht="15" hidden="false" customHeight="false" outlineLevel="0" collapsed="false">
      <c r="A15" s="3" t="s">
        <v>1142</v>
      </c>
      <c r="B15" s="3" t="n">
        <v>2</v>
      </c>
      <c r="C15" s="3" t="n">
        <f aca="false">B15*7</f>
        <v>14</v>
      </c>
      <c r="D15" s="3" t="n">
        <f aca="false">B15*30</f>
        <v>60</v>
      </c>
      <c r="E15" s="3" t="n">
        <f aca="false">D15*4</f>
        <v>240</v>
      </c>
      <c r="F15" s="3" t="n">
        <f aca="false">D15*8</f>
        <v>480</v>
      </c>
      <c r="G15" s="3" t="s">
        <v>1143</v>
      </c>
      <c r="H15" s="3" t="s">
        <v>1144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9" min="8" style="0" width="25"/>
  </cols>
  <sheetData>
    <row r="1" customFormat="false" ht="26.85" hidden="false" customHeight="false" outlineLevel="0" collapsed="false">
      <c r="A1" s="1" t="s">
        <v>1145</v>
      </c>
      <c r="B1" s="1" t="s">
        <v>1146</v>
      </c>
      <c r="C1" s="1" t="s">
        <v>1147</v>
      </c>
      <c r="D1" s="1" t="s">
        <v>1148</v>
      </c>
      <c r="E1" s="1" t="s">
        <v>1149</v>
      </c>
      <c r="F1" s="1" t="s">
        <v>1150</v>
      </c>
      <c r="G1" s="1" t="s">
        <v>1151</v>
      </c>
      <c r="H1" s="1" t="s">
        <v>1152</v>
      </c>
      <c r="I1" s="1" t="s">
        <v>7</v>
      </c>
    </row>
    <row r="2" customFormat="false" ht="15" hidden="false" customHeight="false" outlineLevel="0" collapsed="false">
      <c r="A2" s="2" t="s">
        <v>1153</v>
      </c>
      <c r="B2" s="2" t="s">
        <v>1154</v>
      </c>
      <c r="C2" s="2" t="n">
        <v>6</v>
      </c>
      <c r="D2" s="2" t="s">
        <v>1155</v>
      </c>
      <c r="E2" s="2" t="n">
        <v>4</v>
      </c>
      <c r="F2" s="2" t="str">
        <f aca="false">IF(C2&gt;=E2,"OK",IF(C2&gt;=E2*0.5,"LOW","CRITICAL"))</f>
        <v>OK</v>
      </c>
      <c r="G2" s="2" t="n">
        <v>1</v>
      </c>
      <c r="H2" s="2" t="s">
        <v>1156</v>
      </c>
      <c r="I2" s="2" t="s">
        <v>1157</v>
      </c>
    </row>
    <row r="3" customFormat="false" ht="15" hidden="false" customHeight="false" outlineLevel="0" collapsed="false">
      <c r="A3" s="3" t="s">
        <v>1158</v>
      </c>
      <c r="B3" s="3" t="s">
        <v>1154</v>
      </c>
      <c r="C3" s="3" t="n">
        <v>3</v>
      </c>
      <c r="D3" s="3" t="s">
        <v>1155</v>
      </c>
      <c r="E3" s="3" t="n">
        <v>2</v>
      </c>
      <c r="F3" s="3" t="str">
        <f aca="false">IF(C3&gt;=E3,"OK",IF(C3&gt;=E3*0.5,"LOW","CRITICAL"))</f>
        <v>OK</v>
      </c>
      <c r="G3" s="3" t="n">
        <v>1</v>
      </c>
      <c r="H3" s="3" t="s">
        <v>1159</v>
      </c>
      <c r="I3" s="3" t="s">
        <v>1160</v>
      </c>
    </row>
    <row r="4" customFormat="false" ht="15" hidden="false" customHeight="false" outlineLevel="0" collapsed="false">
      <c r="A4" s="2" t="s">
        <v>1161</v>
      </c>
      <c r="B4" s="2" t="s">
        <v>1154</v>
      </c>
      <c r="C4" s="2" t="n">
        <v>200</v>
      </c>
      <c r="D4" s="2" t="s">
        <v>1162</v>
      </c>
      <c r="E4" s="2" t="n">
        <v>100</v>
      </c>
      <c r="F4" s="2" t="str">
        <f aca="false">IF(C4&gt;=E4,"OK",IF(C4&gt;=E4*0.5,"LOW","CRITICAL"))</f>
        <v>OK</v>
      </c>
      <c r="G4" s="2" t="n">
        <v>2</v>
      </c>
      <c r="H4" s="2" t="s">
        <v>1159</v>
      </c>
      <c r="I4" s="2" t="s">
        <v>1163</v>
      </c>
    </row>
    <row r="5" customFormat="false" ht="15" hidden="false" customHeight="false" outlineLevel="0" collapsed="false">
      <c r="A5" s="3" t="s">
        <v>1164</v>
      </c>
      <c r="B5" s="3" t="s">
        <v>320</v>
      </c>
      <c r="C5" s="3" t="n">
        <v>50</v>
      </c>
      <c r="D5" s="3" t="s">
        <v>1165</v>
      </c>
      <c r="E5" s="3" t="n">
        <v>60</v>
      </c>
      <c r="F5" s="3" t="str">
        <f aca="false">IF(C5&gt;=E5,"OK",IF(C5&gt;=E5*0.5,"LOW","CRITICAL"))</f>
        <v>LOW</v>
      </c>
      <c r="G5" s="3" t="n">
        <v>1</v>
      </c>
      <c r="H5" s="3" t="s">
        <v>1166</v>
      </c>
      <c r="I5" s="3" t="s">
        <v>1167</v>
      </c>
    </row>
    <row r="6" customFormat="false" ht="15" hidden="false" customHeight="false" outlineLevel="0" collapsed="false">
      <c r="A6" s="2" t="s">
        <v>1168</v>
      </c>
      <c r="B6" s="2" t="s">
        <v>320</v>
      </c>
      <c r="C6" s="2" t="n">
        <v>30</v>
      </c>
      <c r="D6" s="2" t="s">
        <v>1165</v>
      </c>
      <c r="E6" s="2" t="n">
        <v>40</v>
      </c>
      <c r="F6" s="2" t="str">
        <f aca="false">IF(C6&gt;=E6,"OK",IF(C6&gt;=E6*0.5,"LOW","CRITICAL"))</f>
        <v>LOW</v>
      </c>
      <c r="G6" s="2" t="n">
        <v>1</v>
      </c>
      <c r="H6" s="2" t="s">
        <v>1169</v>
      </c>
      <c r="I6" s="2" t="s">
        <v>1170</v>
      </c>
    </row>
    <row r="7" customFormat="false" ht="15" hidden="false" customHeight="false" outlineLevel="0" collapsed="false">
      <c r="A7" s="3" t="s">
        <v>1171</v>
      </c>
      <c r="B7" s="3" t="s">
        <v>320</v>
      </c>
      <c r="C7" s="3" t="n">
        <v>20</v>
      </c>
      <c r="D7" s="3" t="s">
        <v>1165</v>
      </c>
      <c r="E7" s="3" t="n">
        <v>15</v>
      </c>
      <c r="F7" s="3" t="str">
        <f aca="false">IF(C7&gt;=E7,"OK",IF(C7&gt;=E7*0.5,"LOW","CRITICAL"))</f>
        <v>OK</v>
      </c>
      <c r="G7" s="3" t="n">
        <v>2</v>
      </c>
      <c r="H7" s="3" t="s">
        <v>1172</v>
      </c>
      <c r="I7" s="3" t="s">
        <v>577</v>
      </c>
    </row>
    <row r="8" customFormat="false" ht="15" hidden="false" customHeight="false" outlineLevel="0" collapsed="false">
      <c r="A8" s="2" t="s">
        <v>1173</v>
      </c>
      <c r="B8" s="2" t="s">
        <v>320</v>
      </c>
      <c r="C8" s="2" t="n">
        <v>15</v>
      </c>
      <c r="D8" s="2" t="s">
        <v>1165</v>
      </c>
      <c r="E8" s="2" t="n">
        <v>20</v>
      </c>
      <c r="F8" s="2" t="str">
        <f aca="false">IF(C8&gt;=E8,"OK",IF(C8&gt;=E8*0.5,"LOW","CRITICAL"))</f>
        <v>LOW</v>
      </c>
      <c r="G8" s="2" t="n">
        <v>2</v>
      </c>
      <c r="H8" s="2" t="s">
        <v>1174</v>
      </c>
      <c r="I8" s="2" t="s">
        <v>1175</v>
      </c>
    </row>
    <row r="9" customFormat="false" ht="15" hidden="false" customHeight="false" outlineLevel="0" collapsed="false">
      <c r="A9" s="3" t="s">
        <v>1176</v>
      </c>
      <c r="B9" s="3" t="s">
        <v>320</v>
      </c>
      <c r="C9" s="3" t="n">
        <v>10</v>
      </c>
      <c r="D9" s="3" t="s">
        <v>1165</v>
      </c>
      <c r="E9" s="3" t="n">
        <v>15</v>
      </c>
      <c r="F9" s="3" t="str">
        <f aca="false">IF(C9&gt;=E9,"OK",IF(C9&gt;=E9*0.5,"LOW","CRITICAL"))</f>
        <v>LOW</v>
      </c>
      <c r="G9" s="3" t="n">
        <v>1</v>
      </c>
      <c r="H9" s="3" t="s">
        <v>1177</v>
      </c>
      <c r="I9" s="3" t="s">
        <v>1178</v>
      </c>
    </row>
    <row r="10" customFormat="false" ht="15" hidden="false" customHeight="false" outlineLevel="0" collapsed="false">
      <c r="A10" s="2" t="s">
        <v>1179</v>
      </c>
      <c r="B10" s="2" t="s">
        <v>320</v>
      </c>
      <c r="C10" s="2" t="n">
        <v>2</v>
      </c>
      <c r="D10" s="2" t="s">
        <v>1180</v>
      </c>
      <c r="E10" s="2" t="n">
        <v>1</v>
      </c>
      <c r="F10" s="2" t="str">
        <f aca="false">IF(C10&gt;=E10,"OK",IF(C10&gt;=E10*0.5,"LOW","CRITICAL"))</f>
        <v>OK</v>
      </c>
      <c r="G10" s="2" t="n">
        <v>2</v>
      </c>
      <c r="H10" s="2" t="s">
        <v>1181</v>
      </c>
      <c r="I10" s="2" t="s">
        <v>1182</v>
      </c>
    </row>
    <row r="11" customFormat="false" ht="15" hidden="false" customHeight="false" outlineLevel="0" collapsed="false">
      <c r="A11" s="3" t="s">
        <v>1183</v>
      </c>
      <c r="B11" s="3" t="s">
        <v>320</v>
      </c>
      <c r="C11" s="3" t="n">
        <v>5</v>
      </c>
      <c r="D11" s="3" t="s">
        <v>1165</v>
      </c>
      <c r="E11" s="3" t="n">
        <v>3</v>
      </c>
      <c r="F11" s="3" t="str">
        <f aca="false">IF(C11&gt;=E11,"OK",IF(C11&gt;=E11*0.5,"LOW","CRITICAL"))</f>
        <v>OK</v>
      </c>
      <c r="G11" s="3" t="n">
        <v>3</v>
      </c>
      <c r="H11" s="3" t="s">
        <v>1184</v>
      </c>
      <c r="I11" s="3" t="s">
        <v>1185</v>
      </c>
    </row>
    <row r="12" customFormat="false" ht="15" hidden="false" customHeight="false" outlineLevel="0" collapsed="false">
      <c r="A12" s="2" t="s">
        <v>1186</v>
      </c>
      <c r="B12" s="2" t="s">
        <v>1187</v>
      </c>
      <c r="C12" s="2" t="n">
        <v>3</v>
      </c>
      <c r="D12" s="2" t="s">
        <v>1155</v>
      </c>
      <c r="E12" s="2" t="n">
        <v>2</v>
      </c>
      <c r="F12" s="2" t="str">
        <f aca="false">IF(C12&gt;=E12,"OK",IF(C12&gt;=E12*0.5,"LOW","CRITICAL"))</f>
        <v>OK</v>
      </c>
      <c r="G12" s="2" t="n">
        <v>1</v>
      </c>
      <c r="H12" s="2" t="s">
        <v>1188</v>
      </c>
      <c r="I12" s="2" t="s">
        <v>1189</v>
      </c>
    </row>
    <row r="13" customFormat="false" ht="15" hidden="false" customHeight="false" outlineLevel="0" collapsed="false">
      <c r="A13" s="3" t="s">
        <v>1190</v>
      </c>
      <c r="B13" s="3" t="s">
        <v>1187</v>
      </c>
      <c r="C13" s="3" t="n">
        <v>2</v>
      </c>
      <c r="D13" s="3" t="s">
        <v>1155</v>
      </c>
      <c r="E13" s="3" t="n">
        <v>2</v>
      </c>
      <c r="F13" s="3" t="str">
        <f aca="false">IF(C13&gt;=E13,"OK",IF(C13&gt;=E13*0.5,"LOW","CRITICAL"))</f>
        <v>OK</v>
      </c>
      <c r="G13" s="3" t="n">
        <v>1</v>
      </c>
      <c r="H13" s="3" t="s">
        <v>1188</v>
      </c>
      <c r="I13" s="3" t="s">
        <v>1191</v>
      </c>
    </row>
    <row r="14" customFormat="false" ht="15" hidden="false" customHeight="false" outlineLevel="0" collapsed="false">
      <c r="A14" s="2" t="s">
        <v>1192</v>
      </c>
      <c r="B14" s="2" t="s">
        <v>1187</v>
      </c>
      <c r="C14" s="2" t="n">
        <v>6</v>
      </c>
      <c r="D14" s="2" t="s">
        <v>1155</v>
      </c>
      <c r="E14" s="2" t="n">
        <v>4</v>
      </c>
      <c r="F14" s="2" t="str">
        <f aca="false">IF(C14&gt;=E14,"OK",IF(C14&gt;=E14*0.5,"LOW","CRITICAL"))</f>
        <v>OK</v>
      </c>
      <c r="G14" s="2" t="n">
        <v>1</v>
      </c>
      <c r="H14" s="2" t="s">
        <v>1193</v>
      </c>
      <c r="I14" s="2" t="s">
        <v>1194</v>
      </c>
    </row>
    <row r="15" customFormat="false" ht="15" hidden="false" customHeight="false" outlineLevel="0" collapsed="false">
      <c r="A15" s="3" t="s">
        <v>1195</v>
      </c>
      <c r="B15" s="3" t="s">
        <v>1187</v>
      </c>
      <c r="C15" s="3" t="n">
        <v>2</v>
      </c>
      <c r="D15" s="3" t="s">
        <v>1155</v>
      </c>
      <c r="E15" s="3" t="n">
        <v>2</v>
      </c>
      <c r="F15" s="3" t="str">
        <f aca="false">IF(C15&gt;=E15,"OK",IF(C15&gt;=E15*0.5,"LOW","CRITICAL"))</f>
        <v>OK</v>
      </c>
      <c r="G15" s="3" t="n">
        <v>1</v>
      </c>
      <c r="H15" s="3" t="s">
        <v>1188</v>
      </c>
      <c r="I15" s="3" t="s">
        <v>1196</v>
      </c>
    </row>
    <row r="16" customFormat="false" ht="15" hidden="false" customHeight="false" outlineLevel="0" collapsed="false">
      <c r="A16" s="2" t="s">
        <v>1197</v>
      </c>
      <c r="B16" s="2" t="s">
        <v>1187</v>
      </c>
      <c r="C16" s="2" t="n">
        <v>3</v>
      </c>
      <c r="D16" s="2" t="s">
        <v>1155</v>
      </c>
      <c r="E16" s="2" t="n">
        <v>2</v>
      </c>
      <c r="F16" s="2" t="str">
        <f aca="false">IF(C16&gt;=E16,"OK",IF(C16&gt;=E16*0.5,"LOW","CRITICAL"))</f>
        <v>OK</v>
      </c>
      <c r="G16" s="2" t="n">
        <v>2</v>
      </c>
      <c r="H16" s="2" t="s">
        <v>1198</v>
      </c>
      <c r="I16" s="2" t="s">
        <v>1199</v>
      </c>
    </row>
    <row r="17" customFormat="false" ht="15" hidden="false" customHeight="false" outlineLevel="0" collapsed="false">
      <c r="A17" s="3" t="s">
        <v>1200</v>
      </c>
      <c r="B17" s="3" t="s">
        <v>1187</v>
      </c>
      <c r="C17" s="3" t="n">
        <v>4</v>
      </c>
      <c r="D17" s="3" t="s">
        <v>1155</v>
      </c>
      <c r="E17" s="3" t="n">
        <v>2</v>
      </c>
      <c r="F17" s="3" t="str">
        <f aca="false">IF(C17&gt;=E17,"OK",IF(C17&gt;=E17*0.5,"LOW","CRITICAL"))</f>
        <v>OK</v>
      </c>
      <c r="G17" s="3" t="n">
        <v>2</v>
      </c>
      <c r="H17" s="3" t="s">
        <v>1188</v>
      </c>
      <c r="I17" s="3" t="s">
        <v>230</v>
      </c>
    </row>
    <row r="18" customFormat="false" ht="15" hidden="false" customHeight="false" outlineLevel="0" collapsed="false">
      <c r="A18" s="2" t="s">
        <v>1201</v>
      </c>
      <c r="B18" s="2" t="s">
        <v>1187</v>
      </c>
      <c r="C18" s="2" t="n">
        <v>300</v>
      </c>
      <c r="D18" s="2" t="s">
        <v>1202</v>
      </c>
      <c r="E18" s="2" t="n">
        <v>200</v>
      </c>
      <c r="F18" s="2" t="str">
        <f aca="false">IF(C18&gt;=E18,"OK",IF(C18&gt;=E18*0.5,"LOW","CRITICAL"))</f>
        <v>OK</v>
      </c>
      <c r="G18" s="2" t="n">
        <v>1</v>
      </c>
      <c r="H18" s="2" t="s">
        <v>1203</v>
      </c>
      <c r="I18" s="2" t="s">
        <v>1204</v>
      </c>
    </row>
    <row r="19" customFormat="false" ht="15" hidden="false" customHeight="false" outlineLevel="0" collapsed="false">
      <c r="A19" s="3" t="s">
        <v>1205</v>
      </c>
      <c r="B19" s="3" t="s">
        <v>1187</v>
      </c>
      <c r="C19" s="3" t="n">
        <v>25</v>
      </c>
      <c r="D19" s="3" t="s">
        <v>1165</v>
      </c>
      <c r="E19" s="3" t="n">
        <v>20</v>
      </c>
      <c r="F19" s="3" t="str">
        <f aca="false">IF(C19&gt;=E19,"OK",IF(C19&gt;=E19*0.5,"LOW","CRITICAL"))</f>
        <v>OK</v>
      </c>
      <c r="G19" s="3" t="n">
        <v>1</v>
      </c>
      <c r="H19" s="3" t="s">
        <v>1206</v>
      </c>
      <c r="I19" s="3" t="s">
        <v>1199</v>
      </c>
    </row>
    <row r="20" customFormat="false" ht="15" hidden="false" customHeight="false" outlineLevel="0" collapsed="false">
      <c r="A20" s="2" t="s">
        <v>1207</v>
      </c>
      <c r="B20" s="2" t="s">
        <v>1187</v>
      </c>
      <c r="C20" s="2" t="n">
        <v>100</v>
      </c>
      <c r="D20" s="2" t="s">
        <v>1155</v>
      </c>
      <c r="E20" s="2" t="n">
        <v>50</v>
      </c>
      <c r="F20" s="2" t="str">
        <f aca="false">IF(C20&gt;=E20,"OK",IF(C20&gt;=E20*0.5,"LOW","CRITICAL"))</f>
        <v>OK</v>
      </c>
      <c r="G20" s="2" t="n">
        <v>2</v>
      </c>
      <c r="H20" s="2" t="s">
        <v>1193</v>
      </c>
      <c r="I20" s="2" t="s">
        <v>40</v>
      </c>
    </row>
    <row r="21" customFormat="false" ht="15" hidden="false" customHeight="false" outlineLevel="0" collapsed="false">
      <c r="A21" s="3" t="s">
        <v>1208</v>
      </c>
      <c r="B21" s="3" t="s">
        <v>1187</v>
      </c>
      <c r="C21" s="3" t="n">
        <v>3</v>
      </c>
      <c r="D21" s="3" t="s">
        <v>1155</v>
      </c>
      <c r="E21" s="3" t="n">
        <v>2</v>
      </c>
      <c r="F21" s="3" t="str">
        <f aca="false">IF(C21&gt;=E21,"OK",IF(C21&gt;=E21*0.5,"LOW","CRITICAL"))</f>
        <v>OK</v>
      </c>
      <c r="G21" s="3" t="n">
        <v>1</v>
      </c>
      <c r="H21" s="3" t="s">
        <v>1203</v>
      </c>
      <c r="I21" s="3" t="s">
        <v>1209</v>
      </c>
    </row>
    <row r="22" customFormat="false" ht="15" hidden="false" customHeight="false" outlineLevel="0" collapsed="false">
      <c r="A22" s="2" t="s">
        <v>1210</v>
      </c>
      <c r="B22" s="2" t="s">
        <v>1211</v>
      </c>
      <c r="C22" s="2" t="n">
        <v>8</v>
      </c>
      <c r="D22" s="2" t="s">
        <v>1212</v>
      </c>
      <c r="E22" s="2" t="n">
        <v>4</v>
      </c>
      <c r="F22" s="2" t="str">
        <f aca="false">IF(C22&gt;=E22,"OK",IF(C22&gt;=E22*0.5,"LOW","CRITICAL"))</f>
        <v>OK</v>
      </c>
      <c r="G22" s="2" t="n">
        <v>1</v>
      </c>
      <c r="H22" s="2" t="s">
        <v>1213</v>
      </c>
      <c r="I22" s="2" t="s">
        <v>1214</v>
      </c>
    </row>
    <row r="23" customFormat="false" ht="15" hidden="false" customHeight="false" outlineLevel="0" collapsed="false">
      <c r="A23" s="3" t="s">
        <v>1215</v>
      </c>
      <c r="B23" s="3" t="s">
        <v>1211</v>
      </c>
      <c r="C23" s="3" t="n">
        <v>30</v>
      </c>
      <c r="D23" s="3" t="s">
        <v>1216</v>
      </c>
      <c r="E23" s="3" t="n">
        <v>20</v>
      </c>
      <c r="F23" s="3" t="str">
        <f aca="false">IF(C23&gt;=E23,"OK",IF(C23&gt;=E23*0.5,"LOW","CRITICAL"))</f>
        <v>OK</v>
      </c>
      <c r="G23" s="3" t="n">
        <v>2</v>
      </c>
      <c r="H23" s="3" t="s">
        <v>1193</v>
      </c>
      <c r="I23" s="3" t="s">
        <v>1217</v>
      </c>
    </row>
    <row r="24" customFormat="false" ht="15" hidden="false" customHeight="false" outlineLevel="0" collapsed="false">
      <c r="A24" s="2" t="s">
        <v>1218</v>
      </c>
      <c r="B24" s="2" t="s">
        <v>1211</v>
      </c>
      <c r="C24" s="2" t="n">
        <v>10</v>
      </c>
      <c r="D24" s="2" t="s">
        <v>1165</v>
      </c>
      <c r="E24" s="2" t="n">
        <v>8</v>
      </c>
      <c r="F24" s="2" t="str">
        <f aca="false">IF(C24&gt;=E24,"OK",IF(C24&gt;=E24*0.5,"LOW","CRITICAL"))</f>
        <v>OK</v>
      </c>
      <c r="G24" s="2" t="n">
        <v>1</v>
      </c>
      <c r="H24" s="2" t="s">
        <v>1184</v>
      </c>
      <c r="I24" s="2" t="s">
        <v>1219</v>
      </c>
    </row>
    <row r="25" customFormat="false" ht="15" hidden="false" customHeight="false" outlineLevel="0" collapsed="false">
      <c r="A25" s="3" t="s">
        <v>1220</v>
      </c>
      <c r="B25" s="3" t="s">
        <v>1211</v>
      </c>
      <c r="C25" s="3" t="n">
        <v>5</v>
      </c>
      <c r="D25" s="3" t="s">
        <v>1165</v>
      </c>
      <c r="E25" s="3" t="n">
        <v>3</v>
      </c>
      <c r="F25" s="3" t="str">
        <f aca="false">IF(C25&gt;=E25,"OK",IF(C25&gt;=E25*0.5,"LOW","CRITICAL"))</f>
        <v>OK</v>
      </c>
      <c r="G25" s="3" t="n">
        <v>2</v>
      </c>
      <c r="H25" s="3" t="s">
        <v>1221</v>
      </c>
      <c r="I25" s="3" t="s">
        <v>1222</v>
      </c>
    </row>
    <row r="26" customFormat="false" ht="15" hidden="false" customHeight="false" outlineLevel="0" collapsed="false">
      <c r="A26" s="2" t="s">
        <v>1223</v>
      </c>
      <c r="B26" s="2" t="s">
        <v>1211</v>
      </c>
      <c r="C26" s="2" t="n">
        <v>2</v>
      </c>
      <c r="D26" s="2" t="s">
        <v>1165</v>
      </c>
      <c r="E26" s="2" t="n">
        <v>1</v>
      </c>
      <c r="F26" s="2" t="str">
        <f aca="false">IF(C26&gt;=E26,"OK",IF(C26&gt;=E26*0.5,"LOW","CRITICAL"))</f>
        <v>OK</v>
      </c>
      <c r="G26" s="2" t="n">
        <v>2</v>
      </c>
      <c r="H26" s="2" t="s">
        <v>1184</v>
      </c>
      <c r="I26" s="2" t="s">
        <v>1224</v>
      </c>
    </row>
    <row r="27" customFormat="false" ht="15" hidden="false" customHeight="false" outlineLevel="0" collapsed="false">
      <c r="A27" s="3" t="s">
        <v>1225</v>
      </c>
      <c r="B27" s="3" t="s">
        <v>1226</v>
      </c>
      <c r="C27" s="3" t="n">
        <v>6</v>
      </c>
      <c r="D27" s="3" t="s">
        <v>1155</v>
      </c>
      <c r="E27" s="3" t="n">
        <v>4</v>
      </c>
      <c r="F27" s="3" t="str">
        <f aca="false">IF(C27&gt;=E27,"OK",IF(C27&gt;=E27*0.5,"LOW","CRITICAL"))</f>
        <v>OK</v>
      </c>
      <c r="G27" s="3" t="n">
        <v>2</v>
      </c>
      <c r="H27" s="3" t="s">
        <v>1227</v>
      </c>
      <c r="I27" s="3" t="s">
        <v>1228</v>
      </c>
    </row>
    <row r="28" customFormat="false" ht="15" hidden="false" customHeight="false" outlineLevel="0" collapsed="false">
      <c r="A28" s="2" t="s">
        <v>1229</v>
      </c>
      <c r="B28" s="2" t="s">
        <v>1226</v>
      </c>
      <c r="C28" s="2" t="n">
        <v>3</v>
      </c>
      <c r="D28" s="2" t="s">
        <v>1230</v>
      </c>
      <c r="E28" s="2" t="n">
        <v>2</v>
      </c>
      <c r="F28" s="2" t="str">
        <f aca="false">IF(C28&gt;=E28,"OK",IF(C28&gt;=E28*0.5,"LOW","CRITICAL"))</f>
        <v>OK</v>
      </c>
      <c r="G28" s="2" t="n">
        <v>2</v>
      </c>
      <c r="H28" s="2" t="s">
        <v>1193</v>
      </c>
      <c r="I28" s="2" t="s">
        <v>1231</v>
      </c>
    </row>
    <row r="29" customFormat="false" ht="15" hidden="false" customHeight="false" outlineLevel="0" collapsed="false">
      <c r="A29" s="3" t="s">
        <v>1232</v>
      </c>
      <c r="B29" s="3" t="s">
        <v>1226</v>
      </c>
      <c r="C29" s="3" t="n">
        <v>20</v>
      </c>
      <c r="D29" s="3" t="s">
        <v>1233</v>
      </c>
      <c r="E29" s="3" t="n">
        <v>15</v>
      </c>
      <c r="F29" s="3" t="str">
        <f aca="false">IF(C29&gt;=E29,"OK",IF(C29&gt;=E29*0.5,"LOW","CRITICAL"))</f>
        <v>OK</v>
      </c>
      <c r="G29" s="3" t="n">
        <v>1</v>
      </c>
      <c r="H29" s="3" t="s">
        <v>1193</v>
      </c>
      <c r="I29" s="3" t="s">
        <v>1234</v>
      </c>
    </row>
    <row r="30" customFormat="false" ht="15" hidden="false" customHeight="false" outlineLevel="0" collapsed="false">
      <c r="A30" s="2" t="s">
        <v>1235</v>
      </c>
      <c r="B30" s="2" t="s">
        <v>1226</v>
      </c>
      <c r="C30" s="2" t="n">
        <v>50</v>
      </c>
      <c r="D30" s="2" t="s">
        <v>1216</v>
      </c>
      <c r="E30" s="2" t="n">
        <v>40</v>
      </c>
      <c r="F30" s="2" t="str">
        <f aca="false">IF(C30&gt;=E30,"OK",IF(C30&gt;=E30*0.5,"LOW","CRITICAL"))</f>
        <v>OK</v>
      </c>
      <c r="G30" s="2" t="n">
        <v>1</v>
      </c>
      <c r="H30" s="2" t="s">
        <v>1236</v>
      </c>
      <c r="I30" s="2" t="s">
        <v>1237</v>
      </c>
    </row>
    <row r="31" customFormat="false" ht="15" hidden="false" customHeight="false" outlineLevel="0" collapsed="false">
      <c r="A31" s="3" t="s">
        <v>1238</v>
      </c>
      <c r="B31" s="3" t="s">
        <v>1239</v>
      </c>
      <c r="C31" s="3" t="n">
        <v>5</v>
      </c>
      <c r="D31" s="3" t="s">
        <v>1240</v>
      </c>
      <c r="E31" s="3" t="n">
        <v>3</v>
      </c>
      <c r="F31" s="3" t="str">
        <f aca="false">IF(C31&gt;=E31,"OK",IF(C31&gt;=E31*0.5,"LOW","CRITICAL"))</f>
        <v>OK</v>
      </c>
      <c r="G31" s="3" t="n">
        <v>1</v>
      </c>
      <c r="H31" s="3" t="s">
        <v>1241</v>
      </c>
      <c r="I31" s="3" t="s">
        <v>1242</v>
      </c>
    </row>
    <row r="32" customFormat="false" ht="15" hidden="false" customHeight="false" outlineLevel="0" collapsed="false">
      <c r="A32" s="2" t="s">
        <v>1243</v>
      </c>
      <c r="B32" s="2" t="s">
        <v>1239</v>
      </c>
      <c r="C32" s="2" t="n">
        <v>20</v>
      </c>
      <c r="D32" s="2" t="s">
        <v>1244</v>
      </c>
      <c r="E32" s="2" t="n">
        <v>10</v>
      </c>
      <c r="F32" s="2" t="str">
        <f aca="false">IF(C32&gt;=E32,"OK",IF(C32&gt;=E32*0.5,"LOW","CRITICAL"))</f>
        <v>OK</v>
      </c>
      <c r="G32" s="2" t="n">
        <v>1</v>
      </c>
      <c r="H32" s="2" t="s">
        <v>1227</v>
      </c>
      <c r="I32" s="2" t="s">
        <v>1245</v>
      </c>
    </row>
    <row r="33" customFormat="false" ht="15" hidden="false" customHeight="false" outlineLevel="0" collapsed="false">
      <c r="A33" s="3" t="s">
        <v>1246</v>
      </c>
      <c r="B33" s="3" t="s">
        <v>1239</v>
      </c>
      <c r="C33" s="3" t="n">
        <v>10</v>
      </c>
      <c r="D33" s="3" t="s">
        <v>1165</v>
      </c>
      <c r="E33" s="3" t="n">
        <v>5</v>
      </c>
      <c r="F33" s="3" t="str">
        <f aca="false">IF(C33&gt;=E33,"OK",IF(C33&gt;=E33*0.5,"LOW","CRITICAL"))</f>
        <v>OK</v>
      </c>
      <c r="G33" s="3" t="n">
        <v>2</v>
      </c>
      <c r="H33" s="3" t="s">
        <v>1247</v>
      </c>
      <c r="I33" s="3" t="s">
        <v>1245</v>
      </c>
    </row>
    <row r="34" customFormat="false" ht="15" hidden="false" customHeight="false" outlineLevel="0" collapsed="false">
      <c r="A34" s="2" t="s">
        <v>1248</v>
      </c>
      <c r="B34" s="2" t="s">
        <v>1239</v>
      </c>
      <c r="C34" s="2" t="n">
        <v>20</v>
      </c>
      <c r="D34" s="2" t="s">
        <v>1165</v>
      </c>
      <c r="E34" s="2" t="n">
        <v>10</v>
      </c>
      <c r="F34" s="2" t="str">
        <f aca="false">IF(C34&gt;=E34,"OK",IF(C34&gt;=E34*0.5,"LOW","CRITICAL"))</f>
        <v>OK</v>
      </c>
      <c r="G34" s="2" t="n">
        <v>2</v>
      </c>
      <c r="H34" s="2" t="s">
        <v>1249</v>
      </c>
      <c r="I34" s="2" t="s">
        <v>198</v>
      </c>
    </row>
    <row r="35" customFormat="false" ht="15" hidden="false" customHeight="false" outlineLevel="0" collapsed="false">
      <c r="A35" s="3" t="s">
        <v>1250</v>
      </c>
      <c r="B35" s="3" t="s">
        <v>1239</v>
      </c>
      <c r="C35" s="3" t="n">
        <v>24</v>
      </c>
      <c r="D35" s="3" t="s">
        <v>1155</v>
      </c>
      <c r="E35" s="3" t="n">
        <v>12</v>
      </c>
      <c r="F35" s="3" t="str">
        <f aca="false">IF(C35&gt;=E35,"OK",IF(C35&gt;=E35*0.5,"LOW","CRITICAL"))</f>
        <v>OK</v>
      </c>
      <c r="G35" s="3" t="n">
        <v>2</v>
      </c>
      <c r="H35" s="3" t="s">
        <v>1236</v>
      </c>
      <c r="I35" s="3" t="s">
        <v>1251</v>
      </c>
    </row>
    <row r="36" customFormat="false" ht="15" hidden="false" customHeight="false" outlineLevel="0" collapsed="false">
      <c r="A36" s="2" t="s">
        <v>1252</v>
      </c>
      <c r="B36" s="2" t="s">
        <v>1253</v>
      </c>
      <c r="C36" s="2" t="n">
        <v>20</v>
      </c>
      <c r="D36" s="2" t="s">
        <v>1254</v>
      </c>
      <c r="E36" s="2" t="n">
        <v>10</v>
      </c>
      <c r="F36" s="2" t="str">
        <f aca="false">IF(C36&gt;=E36,"OK",IF(C36&gt;=E36*0.5,"LOW","CRITICAL"))</f>
        <v>OK</v>
      </c>
      <c r="G36" s="2" t="n">
        <v>2</v>
      </c>
      <c r="H36" s="2" t="s">
        <v>1236</v>
      </c>
      <c r="I36" s="2" t="s">
        <v>1255</v>
      </c>
    </row>
    <row r="37" customFormat="false" ht="15" hidden="false" customHeight="false" outlineLevel="0" collapsed="false">
      <c r="A37" s="3" t="s">
        <v>1256</v>
      </c>
      <c r="B37" s="3" t="s">
        <v>1253</v>
      </c>
      <c r="C37" s="3" t="n">
        <v>5</v>
      </c>
      <c r="D37" s="3" t="s">
        <v>1165</v>
      </c>
      <c r="E37" s="3" t="n">
        <v>3</v>
      </c>
      <c r="F37" s="3" t="str">
        <f aca="false">IF(C37&gt;=E37,"OK",IF(C37&gt;=E37*0.5,"LOW","CRITICAL"))</f>
        <v>OK</v>
      </c>
      <c r="G37" s="3" t="n">
        <v>3</v>
      </c>
      <c r="H37" s="3" t="s">
        <v>1257</v>
      </c>
      <c r="I37" s="3" t="s">
        <v>159</v>
      </c>
    </row>
    <row r="38" customFormat="false" ht="15" hidden="false" customHeight="false" outlineLevel="0" collapsed="false">
      <c r="A38" s="2" t="s">
        <v>1258</v>
      </c>
      <c r="B38" s="2" t="s">
        <v>1253</v>
      </c>
      <c r="C38" s="2" t="n">
        <v>10</v>
      </c>
      <c r="D38" s="2" t="s">
        <v>1216</v>
      </c>
      <c r="E38" s="2" t="n">
        <v>5</v>
      </c>
      <c r="F38" s="2" t="str">
        <f aca="false">IF(C38&gt;=E38,"OK",IF(C38&gt;=E38*0.5,"LOW","CRITICAL"))</f>
        <v>OK</v>
      </c>
      <c r="G38" s="2" t="n">
        <v>3</v>
      </c>
      <c r="H38" s="2" t="s">
        <v>1198</v>
      </c>
      <c r="I38" s="2" t="s">
        <v>1259</v>
      </c>
    </row>
    <row r="39" customFormat="false" ht="15" hidden="false" customHeight="false" outlineLevel="0" collapsed="false">
      <c r="A39" s="3" t="s">
        <v>1260</v>
      </c>
      <c r="B39" s="3" t="s">
        <v>107</v>
      </c>
      <c r="C39" s="3" t="n">
        <v>25</v>
      </c>
      <c r="D39" s="3" t="s">
        <v>1165</v>
      </c>
      <c r="E39" s="3" t="n">
        <v>15</v>
      </c>
      <c r="F39" s="3" t="str">
        <f aca="false">IF(C39&gt;=E39,"OK",IF(C39&gt;=E39*0.5,"LOW","CRITICAL"))</f>
        <v>OK</v>
      </c>
      <c r="G39" s="3" t="n">
        <v>1</v>
      </c>
      <c r="H39" s="3" t="s">
        <v>1227</v>
      </c>
      <c r="I39" s="3" t="s">
        <v>1199</v>
      </c>
    </row>
    <row r="40" customFormat="false" ht="15" hidden="false" customHeight="false" outlineLevel="0" collapsed="false">
      <c r="A40" s="2" t="s">
        <v>1261</v>
      </c>
      <c r="B40" s="2" t="s">
        <v>107</v>
      </c>
      <c r="C40" s="2" t="n">
        <v>1000</v>
      </c>
      <c r="D40" s="2" t="s">
        <v>1262</v>
      </c>
      <c r="E40" s="2" t="n">
        <v>500</v>
      </c>
      <c r="F40" s="2" t="str">
        <f aca="false">IF(C40&gt;=E40,"OK",IF(C40&gt;=E40*0.5,"LOW","CRITICAL"))</f>
        <v>OK</v>
      </c>
      <c r="G40" s="2" t="n">
        <v>1</v>
      </c>
      <c r="H40" s="2" t="s">
        <v>1241</v>
      </c>
      <c r="I40" s="2" t="s">
        <v>1263</v>
      </c>
    </row>
    <row r="41" customFormat="false" ht="15" hidden="false" customHeight="false" outlineLevel="0" collapsed="false">
      <c r="A41" s="3" t="s">
        <v>1264</v>
      </c>
      <c r="B41" s="3" t="s">
        <v>107</v>
      </c>
      <c r="C41" s="3" t="n">
        <v>500</v>
      </c>
      <c r="D41" s="3" t="s">
        <v>1165</v>
      </c>
      <c r="E41" s="3" t="n">
        <v>300</v>
      </c>
      <c r="F41" s="3" t="str">
        <f aca="false">IF(C41&gt;=E41,"OK",IF(C41&gt;=E41*0.5,"LOW","CRITICAL"))</f>
        <v>OK</v>
      </c>
      <c r="G41" s="3" t="n">
        <v>2</v>
      </c>
      <c r="H41" s="3" t="s">
        <v>1265</v>
      </c>
      <c r="I41" s="3" t="s">
        <v>1266</v>
      </c>
    </row>
    <row r="42" customFormat="false" ht="15" hidden="false" customHeight="false" outlineLevel="0" collapsed="false">
      <c r="A42" s="2" t="s">
        <v>1267</v>
      </c>
      <c r="B42" s="2" t="s">
        <v>107</v>
      </c>
      <c r="C42" s="2" t="n">
        <v>1000</v>
      </c>
      <c r="D42" s="2" t="s">
        <v>1165</v>
      </c>
      <c r="E42" s="2" t="n">
        <v>500</v>
      </c>
      <c r="F42" s="2" t="str">
        <f aca="false">IF(C42&gt;=E42,"OK",IF(C42&gt;=E42*0.5,"LOW","CRITICAL"))</f>
        <v>OK</v>
      </c>
      <c r="G42" s="2" t="n">
        <v>2</v>
      </c>
      <c r="H42" s="2" t="s">
        <v>1268</v>
      </c>
      <c r="I42" s="2" t="s">
        <v>1269</v>
      </c>
    </row>
    <row r="43" customFormat="false" ht="15" hidden="false" customHeight="false" outlineLevel="0" collapsed="false">
      <c r="A43" s="3" t="s">
        <v>1270</v>
      </c>
      <c r="B43" s="3" t="s">
        <v>1271</v>
      </c>
      <c r="C43" s="3" t="n">
        <v>15</v>
      </c>
      <c r="D43" s="3" t="s">
        <v>1165</v>
      </c>
      <c r="E43" s="3" t="n">
        <v>10</v>
      </c>
      <c r="F43" s="3" t="str">
        <f aca="false">IF(C43&gt;=E43,"OK",IF(C43&gt;=E43*0.5,"LOW","CRITICAL"))</f>
        <v>OK</v>
      </c>
      <c r="G43" s="3" t="n">
        <v>1</v>
      </c>
      <c r="H43" s="3" t="s">
        <v>1272</v>
      </c>
      <c r="I43" s="3" t="s">
        <v>1273</v>
      </c>
    </row>
    <row r="44" customFormat="false" ht="15" hidden="false" customHeight="false" outlineLevel="0" collapsed="false">
      <c r="A44" s="2" t="s">
        <v>1274</v>
      </c>
      <c r="B44" s="2" t="s">
        <v>1271</v>
      </c>
      <c r="C44" s="2" t="n">
        <v>10</v>
      </c>
      <c r="D44" s="2" t="s">
        <v>1165</v>
      </c>
      <c r="E44" s="2" t="n">
        <v>5</v>
      </c>
      <c r="F44" s="2" t="str">
        <f aca="false">IF(C44&gt;=E44,"OK",IF(C44&gt;=E44*0.5,"LOW","CRITICAL"))</f>
        <v>OK</v>
      </c>
      <c r="G44" s="2" t="n">
        <v>2</v>
      </c>
      <c r="H44" s="2" t="s">
        <v>1272</v>
      </c>
      <c r="I44" s="2" t="s">
        <v>1275</v>
      </c>
    </row>
    <row r="45" customFormat="false" ht="15" hidden="false" customHeight="false" outlineLevel="0" collapsed="false">
      <c r="A45" s="3" t="s">
        <v>1276</v>
      </c>
      <c r="B45" s="3" t="s">
        <v>1271</v>
      </c>
      <c r="C45" s="3" t="n">
        <v>5</v>
      </c>
      <c r="D45" s="3" t="s">
        <v>1155</v>
      </c>
      <c r="E45" s="3" t="n">
        <v>3</v>
      </c>
      <c r="F45" s="3" t="str">
        <f aca="false">IF(C45&gt;=E45,"OK",IF(C45&gt;=E45*0.5,"LOW","CRITICAL"))</f>
        <v>OK</v>
      </c>
      <c r="G45" s="3" t="n">
        <v>1</v>
      </c>
      <c r="H45" s="3" t="s">
        <v>1193</v>
      </c>
      <c r="I45" s="3" t="s">
        <v>1277</v>
      </c>
    </row>
    <row r="46" customFormat="false" ht="15" hidden="false" customHeight="false" outlineLevel="0" collapsed="false">
      <c r="A46" s="2" t="s">
        <v>1278</v>
      </c>
      <c r="B46" s="2" t="s">
        <v>1271</v>
      </c>
      <c r="C46" s="2" t="n">
        <v>20</v>
      </c>
      <c r="D46" s="2" t="s">
        <v>1216</v>
      </c>
      <c r="E46" s="2" t="n">
        <v>10</v>
      </c>
      <c r="F46" s="2" t="str">
        <f aca="false">IF(C46&gt;=E46,"OK",IF(C46&gt;=E46*0.5,"LOW","CRITICAL"))</f>
        <v>OK</v>
      </c>
      <c r="G46" s="2" t="n">
        <v>1</v>
      </c>
      <c r="H46" s="2" t="s">
        <v>1236</v>
      </c>
      <c r="I46" s="2" t="s">
        <v>1279</v>
      </c>
    </row>
    <row r="47" customFormat="false" ht="15" hidden="false" customHeight="false" outlineLevel="0" collapsed="false">
      <c r="A47" s="3" t="s">
        <v>210</v>
      </c>
      <c r="B47" s="3" t="s">
        <v>1271</v>
      </c>
      <c r="C47" s="3" t="n">
        <v>15</v>
      </c>
      <c r="D47" s="3" t="s">
        <v>1155</v>
      </c>
      <c r="E47" s="3" t="n">
        <v>10</v>
      </c>
      <c r="F47" s="3" t="str">
        <f aca="false">IF(C47&gt;=E47,"OK",IF(C47&gt;=E47*0.5,"LOW","CRITICAL"))</f>
        <v>OK</v>
      </c>
      <c r="G47" s="3" t="n">
        <v>2</v>
      </c>
      <c r="H47" s="3" t="s">
        <v>1203</v>
      </c>
      <c r="I47" s="3" t="s">
        <v>1280</v>
      </c>
    </row>
    <row r="48" customFormat="false" ht="15" hidden="false" customHeight="false" outlineLevel="0" collapsed="false">
      <c r="A48" s="2" t="s">
        <v>1281</v>
      </c>
      <c r="B48" s="2" t="s">
        <v>1282</v>
      </c>
      <c r="C48" s="2" t="n">
        <v>50</v>
      </c>
      <c r="D48" s="2" t="s">
        <v>1283</v>
      </c>
      <c r="E48" s="2" t="n">
        <v>30</v>
      </c>
      <c r="F48" s="2" t="str">
        <f aca="false">IF(C48&gt;=E48,"OK",IF(C48&gt;=E48*0.5,"LOW","CRITICAL"))</f>
        <v>OK</v>
      </c>
      <c r="G48" s="2" t="n">
        <v>1</v>
      </c>
      <c r="H48" s="2" t="s">
        <v>1284</v>
      </c>
      <c r="I48" s="2" t="s">
        <v>1285</v>
      </c>
    </row>
    <row r="49" customFormat="false" ht="15" hidden="false" customHeight="false" outlineLevel="0" collapsed="false">
      <c r="A49" s="3" t="s">
        <v>1286</v>
      </c>
      <c r="B49" s="3" t="s">
        <v>1282</v>
      </c>
      <c r="C49" s="3" t="n">
        <v>10</v>
      </c>
      <c r="D49" s="3" t="s">
        <v>1165</v>
      </c>
      <c r="E49" s="3" t="n">
        <v>5</v>
      </c>
      <c r="F49" s="3" t="str">
        <f aca="false">IF(C49&gt;=E49,"OK",IF(C49&gt;=E49*0.5,"LOW","CRITICAL"))</f>
        <v>OK</v>
      </c>
      <c r="G49" s="3" t="n">
        <v>1</v>
      </c>
      <c r="H49" s="3" t="s">
        <v>1284</v>
      </c>
      <c r="I49" s="3" t="s">
        <v>1287</v>
      </c>
    </row>
    <row r="50" customFormat="false" ht="15" hidden="false" customHeight="false" outlineLevel="0" collapsed="false">
      <c r="A50" s="2" t="s">
        <v>1288</v>
      </c>
      <c r="B50" s="2" t="s">
        <v>1289</v>
      </c>
      <c r="C50" s="2" t="n">
        <v>6</v>
      </c>
      <c r="D50" s="2" t="s">
        <v>1155</v>
      </c>
      <c r="E50" s="2" t="n">
        <v>4</v>
      </c>
      <c r="F50" s="2" t="str">
        <f aca="false">IF(C50&gt;=E50,"OK",IF(C50&gt;=E50*0.5,"LOW","CRITICAL"))</f>
        <v>OK</v>
      </c>
      <c r="G50" s="2" t="n">
        <v>2</v>
      </c>
      <c r="H50" s="2" t="s">
        <v>1290</v>
      </c>
      <c r="I50" s="2" t="s">
        <v>1291</v>
      </c>
    </row>
    <row r="51" customFormat="false" ht="15" hidden="false" customHeight="false" outlineLevel="0" collapsed="false">
      <c r="A51" s="3" t="s">
        <v>1292</v>
      </c>
      <c r="B51" s="3" t="s">
        <v>1289</v>
      </c>
      <c r="C51" s="3" t="n">
        <v>4</v>
      </c>
      <c r="D51" s="3" t="s">
        <v>1155</v>
      </c>
      <c r="E51" s="3" t="n">
        <v>2</v>
      </c>
      <c r="F51" s="3" t="str">
        <f aca="false">IF(C51&gt;=E51,"OK",IF(C51&gt;=E51*0.5,"LOW","CRITICAL"))</f>
        <v>OK</v>
      </c>
      <c r="G51" s="3" t="n">
        <v>2</v>
      </c>
      <c r="H51" s="3" t="s">
        <v>1290</v>
      </c>
      <c r="I51" s="3" t="s">
        <v>1293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2026-02-14T09:38:54Z</dcterms:created>
  <dc:creator>openpyxl</dc:creator>
  <dc:description/>
  <dc:language>en-US</dc:language>
  <cp:lastModifiedBy/>
  <dcterms:modified xsi:type="dcterms:W3CDTF">2026-02-14T09:38:54Z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